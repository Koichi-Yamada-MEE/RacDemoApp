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D:\42_★電家計\29_住宅省エネ効果試算ツール\"/>
    </mc:Choice>
  </mc:AlternateContent>
  <xr:revisionPtr revIDLastSave="0" documentId="13_ncr:1_{AF54BCCD-E36A-4C7B-A0ED-A462C878A727}" xr6:coauthVersionLast="47" xr6:coauthVersionMax="47" xr10:uidLastSave="{00000000-0000-0000-0000-000000000000}"/>
  <bookViews>
    <workbookView xWindow="8610" yWindow="1350" windowWidth="41925" windowHeight="14940" activeTab="4" xr2:uid="{FEC85FFD-A57D-42BE-989D-AB564F410831}"/>
  </bookViews>
  <sheets>
    <sheet name="OUTPUT_RAW" sheetId="28" r:id="rId1"/>
    <sheet name="OUTPUT" sheetId="27" r:id="rId2"/>
    <sheet name="_INPUT_" sheetId="26" r:id="rId3"/>
    <sheet name="INPUT" sheetId="24" r:id="rId4"/>
    <sheet name="Settings" sheetId="6" r:id="rId5"/>
    <sheet name="Rules" sheetId="12" r:id="rId6"/>
    <sheet name="忘備録" sheetId="22" r:id="rId7"/>
    <sheet name="工程計画" sheetId="23" r:id="rId8"/>
  </sheets>
  <functionGroups builtInGroupCount="19"/>
  <definedNames>
    <definedName name="_xlnm._FilterDatabase" localSheetId="3" hidden="1">INPUT!$A$1:$D$14</definedName>
    <definedName name="_xleta.SHEET" hidden="1" xlm="1">#NAME?</definedName>
    <definedName name="コージュネ_PUの給湯排熱利用率">Settings!$I$632</definedName>
    <definedName name="コージュネ_PUの日平均排熱効率_下限値_小数点以下4桁">Settings!$I$625</definedName>
    <definedName name="コージュネ_PUの日平均排熱効率_係数a_DHW_小数点以下6桁">Settings!$I$621</definedName>
    <definedName name="コージュネ_PUの日平均排熱効率_係数a_HWH_小数点以下6桁">Settings!$I$622</definedName>
    <definedName name="コージュネ_PUの日平均排熱効率_係数a_PU_小数点以下6桁">Settings!$I$620</definedName>
    <definedName name="コージュネ_PUの日平均排熱効率_係数b_小数点以下4桁">Settings!$I$623</definedName>
    <definedName name="コージュネ_PUの日平均排熱効率_上限値_小数点以下4桁">Settings!$I$624</definedName>
    <definedName name="コージュネ_PUの日平均発電効率_下限値_小数点以下4桁">Settings!$I$619</definedName>
    <definedName name="コージュネ_PUの日平均発電効率_係数a_DHW_小数点以下6桁">Settings!$I$615</definedName>
    <definedName name="コージュネ_PUの日平均発電効率_係数a_HWH_小数点以下6桁">Settings!$I$616</definedName>
    <definedName name="コージュネ_PUの日平均発電効率_係数a_PU_小数点以下6桁">Settings!$I$614</definedName>
    <definedName name="コージュネ_PUの日平均発電効率_係数b_小数点以下4桁">Settings!$I$617</definedName>
    <definedName name="コージュネ_PUの日平均発電効率_上限値_小数点以下4桁">Settings!$I$618</definedName>
    <definedName name="コージュネ_PUの排熱量推定時の仮想燃料消費量_係数a_DHW_小数点以下4桁">Settings!$I$609</definedName>
    <definedName name="コージュネ_PUの排熱量推定時の仮想燃料消費量_係数a_HWH_小数点以下4桁">Settings!$I$610</definedName>
    <definedName name="コージュネ_PUの排熱量推定時の仮想排熱量上限比_係数a_DHW_小数点以下4桁">Settings!$I$611</definedName>
    <definedName name="コージュネ_PUの排熱量推定時の仮想排熱量上限比_係数a_HWH_小数点以下4桁">Settings!$I$612</definedName>
    <definedName name="コージュネ_PUの排熱量推定時の仮想排熱量上限比_係数b_小数点以下4桁">Settings!$I$613</definedName>
    <definedName name="コージュネ_PUの発電量推定時の仮想発電量_係数a_DHW_小数点以下4桁">Settings!$I$605</definedName>
    <definedName name="コージュネ_PUの発電量推定時の仮想発電量_係数a_HWH_小数点以下4桁">Settings!$I$606</definedName>
    <definedName name="コージュネ_PUの発電量推定時の仮想発電量_係数a_PU_小数点以下4桁">Settings!$I$604</definedName>
    <definedName name="コージュネ_PUの発電量推定時の仮想発電量_係数b_小数点以下4桁">Settings!$I$607</definedName>
    <definedName name="コージュネ_PUの発電量推定時の仮想発電量_係数c_小数点以下4桁">Settings!$I$608</definedName>
    <definedName name="コージュネ_TUの補機消費電力">Settings!$I$633</definedName>
    <definedName name="コージュネ_コージェネレーションの区分">Settings!$I$591:$I$600</definedName>
    <definedName name="コージュネ_コージェネレーションの種類">Settings!$I$588:$I$590</definedName>
    <definedName name="コージュネ_コージェネレーション機器の指定">Settings!$I$585:$I$587</definedName>
    <definedName name="コージュネ_コージェネレーション設備">Settings!$I$583:$I$584</definedName>
    <definedName name="コージュネ_バックアップボイラーの種類">Settings!$I$626:$I$627</definedName>
    <definedName name="コージュネ_温水暖房への排熱利用">Settings!$I$628:$I$629</definedName>
    <definedName name="コージュネ_逆潮流">Settings!$I$635:$I$636</definedName>
    <definedName name="コージュネ_逆潮流の評価">Settings!$I$601:$I$602</definedName>
    <definedName name="コージュネ_定格発電出力">Settings!$I$634</definedName>
    <definedName name="コージュネ_品番_メーカ名_品番等の一部">Settings!$I$603</definedName>
    <definedName name="コージュネ01">INPUT!$D$212</definedName>
    <definedName name="コージュネ02">INPUT!$D$213</definedName>
    <definedName name="コージュネ03">INPUT!$D$214</definedName>
    <definedName name="コージュネ04">INPUT!$D$215</definedName>
    <definedName name="コージュネ05">INPUT!$D$216</definedName>
    <definedName name="コージュネ06">INPUT!$D$217</definedName>
    <definedName name="コージュネ07">INPUT!$D$218</definedName>
    <definedName name="コージュネ08">INPUT!$D$219</definedName>
    <definedName name="コージュネ09">INPUT!$D$220</definedName>
    <definedName name="コージュネ10">INPUT!$D$221</definedName>
    <definedName name="コージュネ11">INPUT!$D$222</definedName>
    <definedName name="コージュネ12">INPUT!$D$223</definedName>
    <definedName name="コージュネ13">INPUT!$D$224</definedName>
    <definedName name="コージュネ14">INPUT!$D$225</definedName>
    <definedName name="コージュネ15">INPUT!$D$226</definedName>
    <definedName name="コージュネ16">INPUT!$D$227</definedName>
    <definedName name="コージュネ17">INPUT!$D$228</definedName>
    <definedName name="コージュネ18">INPUT!$D$229</definedName>
    <definedName name="コージュネ19">INPUT!$D$230</definedName>
    <definedName name="コージュネ20">INPUT!$D$231</definedName>
    <definedName name="コージュネ21">INPUT!$D$232</definedName>
    <definedName name="コージュネ22">INPUT!$D$233</definedName>
    <definedName name="コージュネ23">INPUT!$D$234</definedName>
    <definedName name="コージュネ24">INPUT!$D$235</definedName>
    <definedName name="コージュネ25">INPUT!$D$236</definedName>
    <definedName name="コージュネ26">INPUT!$D$237</definedName>
    <definedName name="コージュネ27">INPUT!$D$238</definedName>
    <definedName name="コージュネ28">INPUT!$D$239</definedName>
    <definedName name="コージュネ29">INPUT!$D$240</definedName>
    <definedName name="コージュネ30">INPUT!$D$241</definedName>
    <definedName name="コージュネ31">INPUT!$D$243</definedName>
    <definedName name="コージュネ32">INPUT!$D$244</definedName>
    <definedName name="コージュネ33">INPUT!$D$245</definedName>
    <definedName name="コージュネ34">INPUT!$D$246</definedName>
    <definedName name="外皮_外気が経由する床下の面積の割合">Settings!$H$53:$H$62</definedName>
    <definedName name="外皮_外皮性能の評価方法">Settings!$H$32:$H$35</definedName>
    <definedName name="外皮_外皮平均熱貫流率">Settings!$H$37:$H$38</definedName>
    <definedName name="外皮_外皮面積の合計">Settings!$H$36</definedName>
    <definedName name="外皮_床下空間の断熱">Settings!$H$63:$H$64</definedName>
    <definedName name="外皮_床下空間を経由して外気を導入する換気方式の利用">Settings!$H$51:$H$52</definedName>
    <definedName name="外皮_暖房期の平均日射熱取得率">Settings!$H$41:$H$42</definedName>
    <definedName name="外皮_蓄熱の利用">Settings!$H$49:$H$50</definedName>
    <definedName name="外皮_通風の利用_その他の居室">Settings!$H$46:$H$48</definedName>
    <definedName name="外皮_通風の利用_主たる居室">Settings!$H$43:$H$45</definedName>
    <definedName name="外皮_冷房期の平均日射熱取得率">Settings!$H$39:$H$40</definedName>
    <definedName name="外皮01">INPUT!$D$15</definedName>
    <definedName name="外皮02">INPUT!$D$16</definedName>
    <definedName name="外皮03">INPUT!$D$17</definedName>
    <definedName name="外皮04">INPUT!$D$18</definedName>
    <definedName name="外皮05">INPUT!$D$19</definedName>
    <definedName name="外皮06">INPUT!$D$20</definedName>
    <definedName name="外皮07">INPUT!$D$21</definedName>
    <definedName name="外皮08">INPUT!$D$22</definedName>
    <definedName name="外皮09">INPUT!$D$23</definedName>
    <definedName name="外皮10">INPUT!$D$24</definedName>
    <definedName name="外皮11">INPUT!$D$25</definedName>
    <definedName name="換気_換気回数">Settings!$I$248:$I$250</definedName>
    <definedName name="換気_換気設備の方式">Settings!$I$237:$I$241</definedName>
    <definedName name="換気_省エネルギー手法">Settings!$I$245:$I$246</definedName>
    <definedName name="換気_第一種換気設備の有効換気量率">Settings!$I$253</definedName>
    <definedName name="換気_第一種換気設備の有効換気量率の入力">Settings!$I$251:$I$252</definedName>
    <definedName name="換気_比消費電力">Settings!$I$247</definedName>
    <definedName name="換気_比消費電力の入力">Settings!$I$242:$I$244</definedName>
    <definedName name="換気01">INPUT!$D$96</definedName>
    <definedName name="換気02">INPUT!$D$97</definedName>
    <definedName name="換気03">INPUT!$D$98</definedName>
    <definedName name="換気04">INPUT!$D$99</definedName>
    <definedName name="換気05">INPUT!$D$100</definedName>
    <definedName name="換気06">INPUT!$D$101</definedName>
    <definedName name="換気07">INPUT!$D$102</definedName>
    <definedName name="基本_その他の居室の有無">Settings!$H$10:$H$11</definedName>
    <definedName name="基本_居室の構成">Settings!$H$8:$H$9</definedName>
    <definedName name="基本_住戸の評価方法">Settings!$H$6:$H$7</definedName>
    <definedName name="基本_住宅タイプの名称">Settings!$H$2</definedName>
    <definedName name="基本_住宅の建て方">Settings!$H$4:$H$5</definedName>
    <definedName name="基本_床面積_その他の居室">Settings!$H$15</definedName>
    <definedName name="基本_床面積_合計">Settings!$H$16</definedName>
    <definedName name="基本_床面積_主たる居室">Settings!$H$14</definedName>
    <definedName name="基本_地域の区分">Settings!$H$17:$H$24</definedName>
    <definedName name="基本_入力責任者">Settings!$H$3</definedName>
    <definedName name="基本_年間の日射地域区分">Settings!$H$27:$H$31</definedName>
    <definedName name="基本_年間の日射地域区分の指定">Settings!$H$25:$H$26</definedName>
    <definedName name="基本_非居室の有無">Settings!$H$12:$H$13</definedName>
    <definedName name="基本01">INPUT!$D$2</definedName>
    <definedName name="基本02">INPUT!$D$3</definedName>
    <definedName name="基本03">INPUT!$D$4</definedName>
    <definedName name="基本04">INPUT!$D$5</definedName>
    <definedName name="基本05">INPUT!$D$6</definedName>
    <definedName name="基本06">INPUT!$D$7</definedName>
    <definedName name="基本07">INPUT!$D$8</definedName>
    <definedName name="基本08">INPUT!$D$9</definedName>
    <definedName name="基本09">INPUT!$D$10</definedName>
    <definedName name="基本10">INPUT!$D$11</definedName>
    <definedName name="基本11">INPUT!$D$12</definedName>
    <definedName name="基本12">INPUT!$D$13</definedName>
    <definedName name="基本13">INPUT!$D$14</definedName>
    <definedName name="給湯_その他の給湯設備機器の名称">Settings!$I$313</definedName>
    <definedName name="給湯_タンクユニット容量">Settings!$I$291:$I$292</definedName>
    <definedName name="給湯_ふろ機能の種類">Settings!$I$314:$I$316</definedName>
    <definedName name="給湯_給湯設備・浴室等の有無">Settings!$I$261:$I$263</definedName>
    <definedName name="給湯_効率の入力_ガス給湯温水暖房機">Settings!$I$299:$I$301</definedName>
    <definedName name="給湯_効率の入力_ガス給湯機">Settings!$I$293:$I$295</definedName>
    <definedName name="給湯_効率の入力_石油給湯機">Settings!$I$296:$I$298</definedName>
    <definedName name="給湯_効率の入力_石油従来型給湯温水暖房機">Settings!$I$302:$I$304</definedName>
    <definedName name="給湯_効率の入力_石油潜熱回収型給湯温水暖房機">Settings!$I$305:$I$307</definedName>
    <definedName name="給湯_洗面水栓">Settings!$I$323:$I$324</definedName>
    <definedName name="給湯_台所水栓">Settings!$I$319:$I$320</definedName>
    <definedName name="給湯_電気ヒートポンプ・ガス瞬間式併用型給湯温水暖房機の区分">Settings!$I$308:$I$309</definedName>
    <definedName name="給湯_電気ヒートポンプ・ガス瞬間式併用型給湯機の指定">Settings!$I$310:$I$312</definedName>
    <definedName name="給湯_電気ヒートポンプ給湯機の指定">Settings!$I$284:$I$287</definedName>
    <definedName name="給湯_熱源機の種類">Settings!$I$264:$I$283</definedName>
    <definedName name="給湯_配管方式">Settings!$I$317:$I$318</definedName>
    <definedName name="給湯_品番_メーカ名_品番等">Settings!$I$288</definedName>
    <definedName name="給湯_浴室シャワー水栓">Settings!$I$321:$I$322</definedName>
    <definedName name="給湯_浴槽の保温措置">Settings!$I$325:$I$326</definedName>
    <definedName name="給湯_冷媒の種類">Settings!$I$289:$I$290</definedName>
    <definedName name="給湯01">INPUT!$D$108</definedName>
    <definedName name="給湯02">INPUT!$D$109</definedName>
    <definedName name="給湯03">INPUT!$D$110</definedName>
    <definedName name="給湯04">INPUT!$D$111</definedName>
    <definedName name="給湯05">INPUT!$D$112</definedName>
    <definedName name="給湯06">INPUT!$D$113</definedName>
    <definedName name="給湯07">INPUT!$D$114</definedName>
    <definedName name="給湯08">INPUT!$D$115</definedName>
    <definedName name="給湯09">INPUT!$D$116</definedName>
    <definedName name="給湯10">INPUT!$D$117</definedName>
    <definedName name="給湯11">INPUT!$D$118</definedName>
    <definedName name="給湯12">INPUT!$D$119</definedName>
    <definedName name="給湯13">INPUT!$D$120</definedName>
    <definedName name="給湯14">INPUT!$D$121</definedName>
    <definedName name="給湯15">INPUT!$D$122</definedName>
    <definedName name="給湯16">INPUT!$D$123</definedName>
    <definedName name="給湯17">INPUT!$D$124</definedName>
    <definedName name="給湯18">INPUT!$D$125</definedName>
    <definedName name="給湯19">INPUT!$D$126</definedName>
    <definedName name="給湯20">INPUT!$D$127</definedName>
    <definedName name="照明_その他の居室の照明設備">Settings!$I$337:$I$338</definedName>
    <definedName name="照明_主たる居室の照明設備">Settings!$I$327:$I$328</definedName>
    <definedName name="照明_照明器具の種類_その他の居室">Settings!$I$339:$I$342</definedName>
    <definedName name="照明_照明器具の種類_主たる居室">Settings!$I$329:$I$332</definedName>
    <definedName name="照明_照明器具の種類_非居室">Settings!$I$347:$I$350</definedName>
    <definedName name="照明_多灯分散照明方式_主たる居室">Settings!$I$333:$I$334</definedName>
    <definedName name="照明_調光が可能な制御_その他の居室">Settings!$I$343:$I$344</definedName>
    <definedName name="照明_調光が可能な制御_主たる居室">Settings!$I$335:$I$336</definedName>
    <definedName name="照明_非居室の照明設備">Settings!$I$345:$I$346</definedName>
    <definedName name="照明01">INPUT!$D$128</definedName>
    <definedName name="照明02">INPUT!$D$129</definedName>
    <definedName name="照明03">INPUT!$D$130</definedName>
    <definedName name="照明04">INPUT!$D$131</definedName>
    <definedName name="照明05">INPUT!$D$132</definedName>
    <definedName name="照明06">INPUT!$D$133</definedName>
    <definedName name="照明07">INPUT!$D$134</definedName>
    <definedName name="照明08">INPUT!$D$135</definedName>
    <definedName name="照明09">INPUT!$D$136</definedName>
    <definedName name="太陽光_パネルの設置方位角_パネル1">Settings!$I$368:$I$379</definedName>
    <definedName name="太陽光_パネルの設置方位角_パネル2">Settings!$I$396:$I$407</definedName>
    <definedName name="太陽光_パネルの設置方位角_パネル3">Settings!$I$424:$I$435</definedName>
    <definedName name="太陽光_パネル設置傾斜角_パネル1">Settings!$I$380:$I$389</definedName>
    <definedName name="太陽光_パネル設置傾斜角_パネル2">Settings!$I$408:$I$417</definedName>
    <definedName name="太陽光_パネル設置傾斜角_パネル3">Settings!$I$436:$I$445</definedName>
    <definedName name="太陽光_パワーコンディショナの定格負荷効率">Settings!$I$361</definedName>
    <definedName name="太陽光_パワーコンディショナの定格負荷効率の入力">Settings!$I$359:$I$360</definedName>
    <definedName name="太陽光_太陽光発電設備">Settings!$I$351:$I$352</definedName>
    <definedName name="太陽光_太陽電池アレイのシステム容量_パネル1">Settings!$I$362</definedName>
    <definedName name="太陽光_太陽電池アレイのシステム容量_パネル2">Settings!$I$390</definedName>
    <definedName name="太陽光_太陽電池アレイのシステム容量_パネル3">Settings!$I$418</definedName>
    <definedName name="太陽光_太陽電池アレイの種類_パネル1">Settings!$I$363:$I$364</definedName>
    <definedName name="太陽光_太陽電池アレイの種類_パネル2">Settings!$I$391:$I$392</definedName>
    <definedName name="太陽光_太陽電池アレイの種類_パネル3">Settings!$I$419:$I$420</definedName>
    <definedName name="太陽光_太陽電池アレイ設置方式_パネル1">Settings!$I$365:$I$367</definedName>
    <definedName name="太陽光_太陽電池アレイ設置方式_パネル2">Settings!$I$393:$I$395</definedName>
    <definedName name="太陽光_太陽電池アレイ設置方式_パネル3">Settings!$I$421:$I$423</definedName>
    <definedName name="太陽光_発電の評価">Settings!$I$353:$I$354</definedName>
    <definedName name="太陽光_方位の異なるパネルの面数">Settings!$I$355:$I$358</definedName>
    <definedName name="太陽光01">INPUT!$D$137</definedName>
    <definedName name="太陽光02">INPUT!$D$138</definedName>
    <definedName name="太陽光03">INPUT!$D$139</definedName>
    <definedName name="太陽光04">INPUT!$D$140</definedName>
    <definedName name="太陽光05">INPUT!$D$141</definedName>
    <definedName name="太陽光06">INPUT!$D$142</definedName>
    <definedName name="太陽光07">INPUT!$D$143</definedName>
    <definedName name="太陽光08">INPUT!$D$144</definedName>
    <definedName name="太陽光09">INPUT!$D$145</definedName>
    <definedName name="太陽光10">INPUT!$D$146</definedName>
    <definedName name="太陽光11">INPUT!$D$147</definedName>
    <definedName name="太陽光12">INPUT!$D$148</definedName>
    <definedName name="太陽光13">INPUT!$D$149</definedName>
    <definedName name="太陽光14">INPUT!$D$150</definedName>
    <definedName name="太陽光15">INPUT!$D$151</definedName>
    <definedName name="太陽光16">INPUT!$D$152</definedName>
    <definedName name="太陽光17">INPUT!$D$153</definedName>
    <definedName name="太陽光18">INPUT!$D$154</definedName>
    <definedName name="太陽光19">INPUT!$D$155</definedName>
    <definedName name="太陽光20">INPUT!$D$156</definedName>
    <definedName name="太陽熱_ソーラーシステムの指定">Settings!$I$463:$I$465</definedName>
    <definedName name="太陽熱_液体集熱式太陽熱利用設備">Settings!$I$446:$I$447</definedName>
    <definedName name="太陽熱_開放形太陽熱温水器の指定">Settings!$I$458:$I$459</definedName>
    <definedName name="太陽熱_基準循環流量">Settings!$I$494</definedName>
    <definedName name="太陽熱_機外静圧をゼロとした時の空気搬送ファンの風量">Settings!$I$524</definedName>
    <definedName name="太陽熱_給湯接続方式の種類_ソーラーシステム">Settings!$I$454:$I$455</definedName>
    <definedName name="太陽熱_給湯接続方式の種類_開放形太陽熱温水器">Settings!$I$451</definedName>
    <definedName name="太陽熱_給湯接続方式の種類_密閉形太陽熱温水器_直圧式">Settings!$I$452:$I$453</definedName>
    <definedName name="太陽熱_給湯部のタンク容量">Settings!$I$529</definedName>
    <definedName name="太陽熱_空気集熱式太陽熱利用設備">Settings!$I$502:$I$503</definedName>
    <definedName name="太陽熱_空気搬送ファンの自立運転用太陽光発電装置">Settings!$I$520:$I$521</definedName>
    <definedName name="太陽熱_空気搬送ファンの種別">Settings!$I$522:$I$523</definedName>
    <definedName name="太陽熱_集熱した熱の給湯への利用">Settings!$I$525:$I$526</definedName>
    <definedName name="太陽熱_集熱器の集熱効率特性線図一次近似式の傾き_集熱器群その1">Settings!$I$549</definedName>
    <definedName name="太陽熱_集熱器の集熱効率特性線図一次近似式の傾き_集熱器群その2">Settings!$I$565</definedName>
    <definedName name="太陽熱_集熱器の集熱効率特性線図一次近似式の傾き_集熱器群その3">Settings!$I$581</definedName>
    <definedName name="太陽熱_集熱器の集熱効率特性線図一次近似式の切片_集熱器群その1">Settings!$I$548</definedName>
    <definedName name="太陽熱_集熱器の集熱効率特性線図一次近似式の切片_集熱器群その2">Settings!$I$564</definedName>
    <definedName name="太陽熱_集熱器の集熱効率特性線図一次近似式の切片_集熱器群その3">Settings!$I$580</definedName>
    <definedName name="太陽熱_集熱器の集熱性能試験時における単位面積当たりの空気の質量流量_集熱器群その1">Settings!$I$550</definedName>
    <definedName name="太陽熱_集熱器の集熱性能試験時における単位面積当たりの空気の質量流量_集熱器群その2">Settings!$I$566</definedName>
    <definedName name="太陽熱_集熱器の集熱性能試験時における単位面積当たりの空気の質量流量_集熱器群その3">Settings!$I$582</definedName>
    <definedName name="太陽熱_集熱器群の傾斜角_集熱器群その1">Settings!$I$536:$I$545</definedName>
    <definedName name="太陽熱_集熱器群の傾斜角_集熱器群その2">Settings!$I$552:$I$561</definedName>
    <definedName name="太陽熱_集熱器群の傾斜角_集熱器群その3">Settings!$I$568:$I$577</definedName>
    <definedName name="太陽熱_集熱器群の仕様の入力_集熱器群その1">Settings!$I$546:$I$547</definedName>
    <definedName name="太陽熱_集熱器群の仕様の入力_集熱器群その2">Settings!$I$562:$I$563</definedName>
    <definedName name="太陽熱_集熱器群の仕様の入力_集熱器群その3">Settings!$I$578:$I$579</definedName>
    <definedName name="太陽熱_集熱器群の数">Settings!$I$504:$I$507</definedName>
    <definedName name="太陽熱_集熱器群の面積_集熱器群その1">Settings!$I$535</definedName>
    <definedName name="太陽熱_集熱器群の面積_集熱器群その2">Settings!$I$551</definedName>
    <definedName name="太陽熱_集熱器群の面積_集熱器群その3">Settings!$I$567</definedName>
    <definedName name="太陽熱_集熱後の空気を供給する空間">Settings!$I$530:$I$531</definedName>
    <definedName name="太陽熱_集熱後の空気を供給する床下の面積の割合">Settings!$I$532</definedName>
    <definedName name="太陽熱_集熱配管の線熱通過率">Settings!$I$496</definedName>
    <definedName name="太陽熱_集熱部の設置傾斜角">Settings!$I$479:$I$488</definedName>
    <definedName name="太陽熱_集熱部の設置方位角">Settings!$I$467:$I$478</definedName>
    <definedName name="太陽熱_集熱部の方位角">Settings!$I$508:$I$519</definedName>
    <definedName name="太陽熱_集熱部効率係数_b0">Settings!$I$492</definedName>
    <definedName name="太陽熱_集熱部総面積">Settings!$I$466</definedName>
    <definedName name="太陽熱_集熱部損失係数_b1">Settings!$I$493</definedName>
    <definedName name="太陽熱_循環ポンプの自立運転用太陽光発電装置">Settings!$I$527:$I$528</definedName>
    <definedName name="太陽熱_循環ポンプ集熱判定時電力">Settings!$I$499</definedName>
    <definedName name="太陽熱_循環ポンプ連続運転時電力">Settings!$I$498</definedName>
    <definedName name="太陽熱_床下空間の断熱_太陽熱">Settings!$I$533:$I$534</definedName>
    <definedName name="太陽熱_設備の種類">Settings!$I$448:$I$450</definedName>
    <definedName name="太陽熱_太陽熱用水栓">Settings!$I$456:$I$457</definedName>
    <definedName name="太陽熱_蓄熱タンク容量">Settings!$I$490</definedName>
    <definedName name="太陽熱_蓄熱槽熱損失係数">Settings!$I$501</definedName>
    <definedName name="太陽熱_貯湯量">Settings!$I$489</definedName>
    <definedName name="太陽熱_熱交換器伝熱係数">Settings!$I$497</definedName>
    <definedName name="太陽熱_熱媒の定圧比熱">Settings!$I$495</definedName>
    <definedName name="太陽熱_品番">Settings!$I$491</definedName>
    <definedName name="太陽熱_密閉形太陽熱温水器の指定">Settings!$I$460:$I$462</definedName>
    <definedName name="太陽熱_有効出湯効率">Settings!$I$500</definedName>
    <definedName name="太陽熱01">INPUT!$D$157</definedName>
    <definedName name="太陽熱02">INPUT!$D$158</definedName>
    <definedName name="太陽熱03">INPUT!$D$159</definedName>
    <definedName name="太陽熱04">INPUT!$D$160</definedName>
    <definedName name="太陽熱05">INPUT!$D$161</definedName>
    <definedName name="太陽熱06">INPUT!$D$162</definedName>
    <definedName name="太陽熱07">INPUT!$D$163</definedName>
    <definedName name="太陽熱08">INPUT!$D$164</definedName>
    <definedName name="太陽熱09">INPUT!$D$165</definedName>
    <definedName name="太陽熱10">INPUT!$D$166</definedName>
    <definedName name="太陽熱11">INPUT!$D$167</definedName>
    <definedName name="太陽熱12">INPUT!$D$168</definedName>
    <definedName name="太陽熱13">INPUT!$D$169</definedName>
    <definedName name="太陽熱14">INPUT!$D$170</definedName>
    <definedName name="太陽熱15">INPUT!$D$171</definedName>
    <definedName name="太陽熱16">INPUT!$D$172</definedName>
    <definedName name="太陽熱17">INPUT!$D$173</definedName>
    <definedName name="太陽熱18">INPUT!$D$174</definedName>
    <definedName name="太陽熱19">INPUT!$D$175</definedName>
    <definedName name="太陽熱20">INPUT!$D$176</definedName>
    <definedName name="太陽熱21">INPUT!$D$177</definedName>
    <definedName name="太陽熱22">INPUT!$D$178</definedName>
    <definedName name="太陽熱23">INPUT!$D$179</definedName>
    <definedName name="太陽熱24">INPUT!$D$180</definedName>
    <definedName name="太陽熱25">INPUT!$D$181</definedName>
    <definedName name="太陽熱26">INPUT!$D$182</definedName>
    <definedName name="太陽熱27">INPUT!$D$183</definedName>
    <definedName name="太陽熱28">INPUT!$D$184</definedName>
    <definedName name="太陽熱29">INPUT!$D$185</definedName>
    <definedName name="太陽熱30">INPUT!$D$186</definedName>
    <definedName name="太陽熱31">INPUT!$D$187</definedName>
    <definedName name="太陽熱32">INPUT!$D$188</definedName>
    <definedName name="太陽熱33">INPUT!$D$189</definedName>
    <definedName name="太陽熱34">INPUT!$D$190</definedName>
    <definedName name="太陽熱35">INPUT!$D$191</definedName>
    <definedName name="太陽熱36">INPUT!$D$192</definedName>
    <definedName name="太陽熱37">INPUT!$D$193</definedName>
    <definedName name="太陽熱38">INPUT!$D$194</definedName>
    <definedName name="太陽熱39">INPUT!$D$195</definedName>
    <definedName name="太陽熱40">INPUT!$D$196</definedName>
    <definedName name="太陽熱41">INPUT!$D$197</definedName>
    <definedName name="太陽熱42">INPUT!$D$198</definedName>
    <definedName name="太陽熱43">INPUT!$D$199</definedName>
    <definedName name="太陽熱44">INPUT!$D$200</definedName>
    <definedName name="太陽熱45">INPUT!$D$201</definedName>
    <definedName name="太陽熱46">INPUT!$D$202</definedName>
    <definedName name="太陽熱47">INPUT!$D$203</definedName>
    <definedName name="太陽熱48">INPUT!$D$204</definedName>
    <definedName name="太陽熱49">INPUT!$D$205</definedName>
    <definedName name="太陽熱50">INPUT!$D$206</definedName>
    <definedName name="太陽熱51">INPUT!$D$207</definedName>
    <definedName name="太陽熱52">INPUT!$D$208</definedName>
    <definedName name="太陽熱53">INPUT!$D$209</definedName>
    <definedName name="太陽熱54">INPUT!$D$210</definedName>
    <definedName name="太陽熱55">INPUT!$D$211</definedName>
    <definedName name="暖房_VAV方式">Settings!$I$189:$I$190</definedName>
    <definedName name="暖房_エネルギー消費効率の区分_その他の居室">Settings!$I$130:$I$132</definedName>
    <definedName name="暖房_エネルギー消費効率の区分_主たる居室">Settings!$I$83:$I$85</definedName>
    <definedName name="暖房_エネルギー消費効率の入力">Settings!$I$162:$I$163</definedName>
    <definedName name="暖房_エネルギー消費効率の入力_その他の居室">Settings!$I$127:$I$128</definedName>
    <definedName name="暖房_エネルギー消費効率の入力_主たる居室">Settings!$I$80:$I$81</definedName>
    <definedName name="暖房_その他の温水暖房機の名称">Settings!$I$181</definedName>
    <definedName name="暖房_その他の暖房設備機器の名称_その他の居室">Settings!$I$149</definedName>
    <definedName name="暖房_その他の暖房設備機器の名称_主たる居室">Settings!$I$114</definedName>
    <definedName name="暖房_ダクトが通過する空間">Settings!$I$187:$I$188</definedName>
    <definedName name="暖房_温水暖房機の種類">Settings!$I$150:$I$161</definedName>
    <definedName name="暖房_仮想床の床面積を除いた敷設率_主たる居室">Settings!$I$93:$I$102</definedName>
    <definedName name="暖房_仮想床の床面積を除いた敷設率の入力_主たる居室">Settings!$I$91:$I$92</definedName>
    <definedName name="暖房_機器の仕様の入力">Settings!$I$193:$I$195</definedName>
    <definedName name="暖房_小能力時高効率型コンプレッサー_その他の居室">Settings!$I$133:$I$134</definedName>
    <definedName name="暖房_小能力時高効率型コンプレッサー_主たる居室">Settings!$I$86:$I$87</definedName>
    <definedName name="暖房_上面放熱率_床の断熱_その他の居室">Settings!$I$138:$I$140</definedName>
    <definedName name="暖房_上面放熱率_床の断熱_主たる居室">Settings!$I$103:$I$105</definedName>
    <definedName name="暖房_設計風量">Settings!$I$206</definedName>
    <definedName name="暖房_設計風量の入力">Settings!$I$204:$I$205</definedName>
    <definedName name="暖房_全般換気機能">Settings!$I$191:$I$192</definedName>
    <definedName name="暖房_断熱配管">Settings!$I$182:$I$183</definedName>
    <definedName name="暖房_断熱配管_その他の居室">Settings!$I$143:$I$144</definedName>
    <definedName name="暖房_断熱配管_主たる居室">Settings!$I$108:$I$109</definedName>
    <definedName name="暖房_暖房設備機器の種類">Settings!$I$186</definedName>
    <definedName name="暖房_暖房設備機器または放熱器の種類_その他の居室">Settings!$I$115:$I$126</definedName>
    <definedName name="暖房_暖房設備機器または放熱器の種類_主たる居室">Settings!$I$68:$I$79</definedName>
    <definedName name="暖房_暖房方式">Settings!$I$65:$I$67</definedName>
    <definedName name="暖房_中間暖房能力試験_室内側送風機の消費電力">Settings!$I$203</definedName>
    <definedName name="暖房_中間暖房能力試験_消費電力">Settings!$I$201</definedName>
    <definedName name="暖房_中間暖房能力試験_能力">Settings!$I$200</definedName>
    <definedName name="暖房_中間暖房能力試験_風量">Settings!$I$202</definedName>
    <definedName name="暖房_低出力モード_その他の居室">Settings!$I$141:$I$142</definedName>
    <definedName name="暖房_低出力モード_主たる居室">Settings!$I$106:$I$107</definedName>
    <definedName name="暖房_定格暖房能力試験_室内側送風機の消費電力">Settings!$I$199</definedName>
    <definedName name="暖房_定格暖房能力試験_消費電力">Settings!$I$197</definedName>
    <definedName name="暖房_定格暖房能力試験_能力">Settings!$I$196</definedName>
    <definedName name="暖房_定格暖房能力試験_風量">Settings!$I$198</definedName>
    <definedName name="暖房_定格能力におけるエネルギー消費効率">Settings!$I$164:$I$173</definedName>
    <definedName name="暖房_定格能力におけるエネルギー消費効率_その他の居室">Settings!$I$129</definedName>
    <definedName name="暖房_定格能力におけるエネルギー消費効率_主たる居室">Settings!$I$82</definedName>
    <definedName name="暖房_定常時消費電力_その他の居室">Settings!$I$148</definedName>
    <definedName name="暖房_定常時消費電力_主たる居室">Settings!$I$113</definedName>
    <definedName name="暖房_点火時消費電力量_その他の居室">Settings!$I$147</definedName>
    <definedName name="暖房_点火時消費電力量_主たる居室">Settings!$I$112</definedName>
    <definedName name="暖房_熱交換器タイプ">Settings!$I$176:$I$180</definedName>
    <definedName name="暖房_熱交換器タイプの入力">Settings!$I$174:$I$175</definedName>
    <definedName name="暖房_熱効率_その他の居室">Settings!$I$146</definedName>
    <definedName name="暖房_熱効率_主たる居室">Settings!$I$111</definedName>
    <definedName name="暖房_熱出力_その他の居室">Settings!$I$145</definedName>
    <definedName name="暖房_熱出力_主たる居室">Settings!$I$110</definedName>
    <definedName name="暖房_配管が通過する空間">Settings!$I$184:$I$185</definedName>
    <definedName name="暖房_敷設率_その他の居室">Settings!$I$137</definedName>
    <definedName name="暖房_敷設率_主たる居室">Settings!$I$90</definedName>
    <definedName name="暖房_敷設率の入力_その他の居室">Settings!$I$135:$I$136</definedName>
    <definedName name="暖房_敷設率の入力_主たる居室">Settings!$I$88:$I$89</definedName>
    <definedName name="暖房01">INPUT!$D$26</definedName>
    <definedName name="暖房02">INPUT!$D$27</definedName>
    <definedName name="暖房03">INPUT!$D$28</definedName>
    <definedName name="暖房04">INPUT!$D$29</definedName>
    <definedName name="暖房05">INPUT!$D$30</definedName>
    <definedName name="暖房06">INPUT!$D$31</definedName>
    <definedName name="暖房07">INPUT!$D$32</definedName>
    <definedName name="暖房08">INPUT!$D$33</definedName>
    <definedName name="暖房09">INPUT!$D$34</definedName>
    <definedName name="暖房10">INPUT!$D$35</definedName>
    <definedName name="暖房11">INPUT!$D$36</definedName>
    <definedName name="暖房12">INPUT!$D$37</definedName>
    <definedName name="暖房13">INPUT!$D$38</definedName>
    <definedName name="暖房14">INPUT!$D$39</definedName>
    <definedName name="暖房15">INPUT!$D$40</definedName>
    <definedName name="暖房16">INPUT!$D$41</definedName>
    <definedName name="暖房17">INPUT!$D$42</definedName>
    <definedName name="暖房18">INPUT!$D$43</definedName>
    <definedName name="暖房19">INPUT!$D$44</definedName>
    <definedName name="暖房20">INPUT!$D$45</definedName>
    <definedName name="暖房21">INPUT!$D$46</definedName>
    <definedName name="暖房22">INPUT!$D$47</definedName>
    <definedName name="暖房23">INPUT!$D$48</definedName>
    <definedName name="暖房24">INPUT!$D$49</definedName>
    <definedName name="暖房25">INPUT!$D$50</definedName>
    <definedName name="暖房26">INPUT!$D$51</definedName>
    <definedName name="暖房27">INPUT!$D$52</definedName>
    <definedName name="暖房28">INPUT!$D$53</definedName>
    <definedName name="暖房29">INPUT!$D$54</definedName>
    <definedName name="暖房30">INPUT!$D$55</definedName>
    <definedName name="暖房31">INPUT!$D$56</definedName>
    <definedName name="暖房32">INPUT!$D$57</definedName>
    <definedName name="暖房33">INPUT!$D$58</definedName>
    <definedName name="暖房34">INPUT!$D$59</definedName>
    <definedName name="暖房35">INPUT!$D$60</definedName>
    <definedName name="暖房36">INPUT!$D$61</definedName>
    <definedName name="暖房37">INPUT!$D$62</definedName>
    <definedName name="暖房38">INPUT!$D$63</definedName>
    <definedName name="暖房39">INPUT!$D$64</definedName>
    <definedName name="暖房40">INPUT!$D$65</definedName>
    <definedName name="暖房41">INPUT!$D$66</definedName>
    <definedName name="暖房42">INPUT!$D$67</definedName>
    <definedName name="暖房43">INPUT!$D$68</definedName>
    <definedName name="暖房44">INPUT!$D$69</definedName>
    <definedName name="暖房45">INPUT!$D$70</definedName>
    <definedName name="暖房46">INPUT!$D$71</definedName>
    <definedName name="暖房47">INPUT!$D$72</definedName>
    <definedName name="暖房48">INPUT!$D$73</definedName>
    <definedName name="暖房49">INPUT!$D$74</definedName>
    <definedName name="暖房50">INPUT!$D$75</definedName>
    <definedName name="暖房51">INPUT!$D$76</definedName>
    <definedName name="暖房52">INPUT!$D$77</definedName>
    <definedName name="暖房53">INPUT!$D$78</definedName>
    <definedName name="暖房54">INPUT!$D$79</definedName>
    <definedName name="暖房55">INPUT!$D$80</definedName>
    <definedName name="暖房56">INPUT!$D$81</definedName>
    <definedName name="熱交換_温度交換効率">Settings!$I$256</definedName>
    <definedName name="熱交換_温度交換効率の補正係数の入力">Settings!$I$257:$I$258</definedName>
    <definedName name="熱交換_給気と排気の比率による温度交換効率の補正係数">Settings!$I$259</definedName>
    <definedName name="熱交換_熱交換型換気設備">Settings!$I$254:$I$255</definedName>
    <definedName name="熱交換_排気過多時における住宅外皮経由の漏気による温度交換効率の補正係数">Settings!$I$260</definedName>
    <definedName name="熱交換01">INPUT!$D$103</definedName>
    <definedName name="熱交換02">INPUT!$D$104</definedName>
    <definedName name="熱交換03">INPUT!$D$105</definedName>
    <definedName name="熱交換04">INPUT!$D$106</definedName>
    <definedName name="熱交換05">INPUT!$D$107</definedName>
    <definedName name="冷房_VAV方式">Settings!$I$227:$I$228</definedName>
    <definedName name="冷房_エネルギー消費効率の入力_その他の居室">Settings!$I$221:$I$222</definedName>
    <definedName name="冷房_エネルギー消費効率の入力_主たる居室">Settings!$I$214:$I$215</definedName>
    <definedName name="冷房_その他の冷房設備機器の名称_その他の居室">Settings!$I$223</definedName>
    <definedName name="冷房_その他の冷房設備機器の名称_主たる居室">Settings!$I$216</definedName>
    <definedName name="冷房_ダクトが通過する空間">Settings!$I$225:$I$226</definedName>
    <definedName name="冷房_機器の仕様の入力">Settings!$I$231:$I$233</definedName>
    <definedName name="冷房_設計風量">Settings!$I$236</definedName>
    <definedName name="冷房_設計風量の入力">Settings!$I$234:$I$235</definedName>
    <definedName name="冷房_全般換気機能">Settings!$I$229:$I$230</definedName>
    <definedName name="冷房_冷房設備機器の種類">Settings!$I$224</definedName>
    <definedName name="冷房_冷房設備機器の種類_その他の居室">Settings!$I$217:$I$220</definedName>
    <definedName name="冷房_冷房設備機器の種類_主たる居室">Settings!$I$210:$I$213</definedName>
    <definedName name="冷房_冷房方式">Settings!$I$207:$I$209</definedName>
    <definedName name="冷房01">INPUT!$D$82</definedName>
    <definedName name="冷房02">INPUT!$D$83</definedName>
    <definedName name="冷房03">INPUT!$D$84</definedName>
    <definedName name="冷房04">INPUT!$D$85</definedName>
    <definedName name="冷房05">INPUT!$D$86</definedName>
    <definedName name="冷房06">INPUT!$D$87</definedName>
    <definedName name="冷房07">INPUT!$D$88</definedName>
    <definedName name="冷房08">INPUT!$D$89</definedName>
    <definedName name="冷房09">INPUT!$D$90</definedName>
    <definedName name="冷房10">INPUT!$D$91</definedName>
    <definedName name="冷房11">INPUT!$D$92</definedName>
    <definedName name="冷房12">INPUT!$D$93</definedName>
    <definedName name="冷房13">INPUT!$D$94</definedName>
    <definedName name="冷房14">INPUT!$D$95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4" i="6" l="1"/>
  <c r="J63" i="6"/>
  <c r="J62" i="6"/>
  <c r="J61" i="6"/>
  <c r="J60" i="6"/>
  <c r="J59" i="6"/>
  <c r="J58" i="6"/>
  <c r="J57" i="6"/>
  <c r="J56" i="6"/>
  <c r="J55" i="6"/>
  <c r="J54" i="6"/>
  <c r="J53" i="6"/>
  <c r="J52" i="6"/>
  <c r="J51" i="6"/>
  <c r="J50" i="6"/>
  <c r="J49" i="6"/>
  <c r="J48" i="6"/>
  <c r="J47" i="6"/>
  <c r="J46" i="6"/>
  <c r="J45" i="6"/>
  <c r="J44" i="6"/>
  <c r="J43" i="6"/>
  <c r="J35" i="6"/>
  <c r="J34" i="6"/>
  <c r="J33" i="6"/>
  <c r="J32" i="6"/>
  <c r="J28" i="6"/>
  <c r="J27" i="6"/>
  <c r="J26" i="6"/>
  <c r="J20" i="6"/>
  <c r="J19" i="6"/>
  <c r="J18" i="6"/>
  <c r="J17" i="6"/>
  <c r="H16" i="6"/>
  <c r="H15" i="6"/>
  <c r="H14" i="6"/>
  <c r="J13" i="6"/>
  <c r="J12" i="6"/>
  <c r="J8" i="6"/>
  <c r="J7" i="6"/>
  <c r="J6" i="6"/>
  <c r="J5" i="6"/>
  <c r="H3" i="6"/>
  <c r="J3" i="6" s="1"/>
  <c r="J31" i="6"/>
  <c r="J30" i="6"/>
  <c r="J29" i="6"/>
  <c r="J25" i="6"/>
  <c r="J24" i="6"/>
  <c r="J23" i="6"/>
  <c r="J22" i="6"/>
  <c r="J21" i="6"/>
  <c r="J11" i="6"/>
  <c r="J10" i="6"/>
  <c r="J9" i="6"/>
  <c r="J4" i="6"/>
  <c r="H2" i="6"/>
  <c r="J2" i="6" s="1"/>
  <c r="H42" i="6" l="1"/>
  <c r="J42" i="6" s="1"/>
  <c r="H41" i="6"/>
  <c r="J41" i="6" s="1"/>
  <c r="H40" i="6"/>
  <c r="J40" i="6" s="1"/>
  <c r="H39" i="6"/>
  <c r="J39" i="6" s="1"/>
  <c r="H38" i="6"/>
  <c r="J38" i="6" s="1"/>
  <c r="H37" i="6"/>
  <c r="J37" i="6" s="1"/>
  <c r="H36" i="6"/>
  <c r="J36" i="6" s="1"/>
  <c r="L74" i="27"/>
  <c r="K74" i="27"/>
  <c r="J74" i="27"/>
  <c r="I74" i="27"/>
  <c r="H74" i="27"/>
  <c r="G74" i="27"/>
  <c r="F74" i="27"/>
  <c r="E74" i="27"/>
  <c r="L73" i="27"/>
  <c r="K73" i="27"/>
  <c r="J73" i="27"/>
  <c r="I73" i="27"/>
  <c r="H73" i="27"/>
  <c r="G73" i="27"/>
  <c r="F73" i="27"/>
  <c r="E73" i="27"/>
  <c r="L72" i="27"/>
  <c r="K72" i="27"/>
  <c r="J72" i="27"/>
  <c r="I72" i="27"/>
  <c r="H72" i="27"/>
  <c r="G72" i="27"/>
  <c r="F72" i="27"/>
  <c r="E72" i="27"/>
  <c r="L71" i="27"/>
  <c r="K71" i="27"/>
  <c r="J71" i="27"/>
  <c r="I71" i="27"/>
  <c r="H71" i="27"/>
  <c r="G71" i="27"/>
  <c r="F71" i="27"/>
  <c r="E71" i="27"/>
  <c r="L69" i="27"/>
  <c r="K69" i="27"/>
  <c r="J69" i="27"/>
  <c r="I69" i="27"/>
  <c r="H69" i="27"/>
  <c r="G69" i="27"/>
  <c r="F69" i="27"/>
  <c r="E69" i="27"/>
  <c r="L68" i="27"/>
  <c r="K68" i="27"/>
  <c r="J68" i="27"/>
  <c r="I68" i="27"/>
  <c r="H68" i="27"/>
  <c r="G68" i="27"/>
  <c r="F68" i="27"/>
  <c r="E68" i="27"/>
  <c r="L67" i="27"/>
  <c r="K67" i="27"/>
  <c r="J67" i="27"/>
  <c r="I67" i="27"/>
  <c r="H67" i="27"/>
  <c r="G67" i="27"/>
  <c r="F67" i="27"/>
  <c r="E67" i="27"/>
  <c r="L66" i="27"/>
  <c r="K66" i="27"/>
  <c r="J66" i="27"/>
  <c r="I66" i="27"/>
  <c r="H66" i="27"/>
  <c r="G66" i="27"/>
  <c r="F66" i="27"/>
  <c r="E66" i="27"/>
  <c r="L65" i="27"/>
  <c r="K65" i="27"/>
  <c r="J65" i="27"/>
  <c r="I65" i="27"/>
  <c r="H65" i="27"/>
  <c r="G65" i="27"/>
  <c r="F65" i="27"/>
  <c r="E65" i="27"/>
  <c r="L63" i="27"/>
  <c r="K63" i="27"/>
  <c r="J63" i="27"/>
  <c r="I63" i="27"/>
  <c r="H63" i="27"/>
  <c r="G63" i="27"/>
  <c r="F63" i="27"/>
  <c r="E63" i="27"/>
  <c r="L62" i="27"/>
  <c r="K62" i="27"/>
  <c r="J62" i="27"/>
  <c r="I62" i="27"/>
  <c r="H62" i="27"/>
  <c r="G62" i="27"/>
  <c r="F62" i="27"/>
  <c r="E62" i="27"/>
  <c r="L61" i="27"/>
  <c r="K61" i="27"/>
  <c r="J61" i="27"/>
  <c r="I61" i="27"/>
  <c r="H61" i="27"/>
  <c r="G61" i="27"/>
  <c r="F61" i="27"/>
  <c r="E61" i="27"/>
  <c r="L60" i="27"/>
  <c r="K60" i="27"/>
  <c r="J60" i="27"/>
  <c r="I60" i="27"/>
  <c r="H60" i="27"/>
  <c r="G60" i="27"/>
  <c r="F60" i="27"/>
  <c r="E60" i="27"/>
  <c r="L59" i="27"/>
  <c r="K59" i="27"/>
  <c r="J59" i="27"/>
  <c r="I59" i="27"/>
  <c r="H59" i="27"/>
  <c r="G59" i="27"/>
  <c r="F59" i="27"/>
  <c r="E59" i="27"/>
  <c r="L57" i="27"/>
  <c r="K57" i="27"/>
  <c r="J57" i="27"/>
  <c r="I57" i="27"/>
  <c r="H57" i="27"/>
  <c r="G57" i="27"/>
  <c r="F57" i="27"/>
  <c r="E57" i="27"/>
  <c r="L56" i="27"/>
  <c r="K56" i="27"/>
  <c r="J56" i="27"/>
  <c r="I56" i="27"/>
  <c r="H56" i="27"/>
  <c r="G56" i="27"/>
  <c r="F56" i="27"/>
  <c r="E56" i="27"/>
  <c r="L55" i="27"/>
  <c r="K55" i="27"/>
  <c r="J55" i="27"/>
  <c r="I55" i="27"/>
  <c r="H55" i="27"/>
  <c r="G55" i="27"/>
  <c r="F55" i="27"/>
  <c r="E55" i="27"/>
  <c r="L54" i="27"/>
  <c r="K54" i="27"/>
  <c r="J54" i="27"/>
  <c r="I54" i="27"/>
  <c r="H54" i="27"/>
  <c r="G54" i="27"/>
  <c r="F54" i="27"/>
  <c r="E54" i="27"/>
  <c r="L53" i="27"/>
  <c r="K53" i="27"/>
  <c r="J53" i="27"/>
  <c r="I53" i="27"/>
  <c r="H53" i="27"/>
  <c r="G53" i="27"/>
  <c r="F53" i="27"/>
  <c r="E53" i="27"/>
  <c r="L52" i="27"/>
  <c r="K52" i="27"/>
  <c r="J52" i="27"/>
  <c r="I52" i="27"/>
  <c r="H52" i="27"/>
  <c r="G52" i="27"/>
  <c r="F52" i="27"/>
  <c r="E52" i="27"/>
  <c r="L51" i="27"/>
  <c r="K51" i="27"/>
  <c r="J51" i="27"/>
  <c r="I51" i="27"/>
  <c r="H51" i="27"/>
  <c r="G51" i="27"/>
  <c r="F51" i="27"/>
  <c r="E51" i="27"/>
  <c r="L49" i="27"/>
  <c r="K49" i="27"/>
  <c r="J49" i="27"/>
  <c r="I49" i="27"/>
  <c r="H49" i="27"/>
  <c r="G49" i="27"/>
  <c r="F49" i="27"/>
  <c r="E49" i="27"/>
  <c r="L48" i="27"/>
  <c r="K48" i="27"/>
  <c r="J48" i="27"/>
  <c r="I48" i="27"/>
  <c r="H48" i="27"/>
  <c r="G48" i="27"/>
  <c r="F48" i="27"/>
  <c r="E48" i="27"/>
  <c r="L47" i="27"/>
  <c r="K47" i="27"/>
  <c r="J47" i="27"/>
  <c r="I47" i="27"/>
  <c r="H47" i="27"/>
  <c r="G47" i="27"/>
  <c r="F47" i="27"/>
  <c r="E47" i="27"/>
  <c r="L46" i="27"/>
  <c r="K46" i="27"/>
  <c r="J46" i="27"/>
  <c r="I46" i="27"/>
  <c r="H46" i="27"/>
  <c r="G46" i="27"/>
  <c r="F46" i="27"/>
  <c r="E46" i="27"/>
  <c r="L45" i="27"/>
  <c r="K45" i="27"/>
  <c r="J45" i="27"/>
  <c r="I45" i="27"/>
  <c r="H45" i="27"/>
  <c r="G45" i="27"/>
  <c r="F45" i="27"/>
  <c r="E45" i="27"/>
  <c r="L44" i="27"/>
  <c r="K44" i="27"/>
  <c r="J44" i="27"/>
  <c r="I44" i="27"/>
  <c r="H44" i="27"/>
  <c r="G44" i="27"/>
  <c r="F44" i="27"/>
  <c r="E44" i="27"/>
  <c r="L43" i="27"/>
  <c r="K43" i="27"/>
  <c r="J43" i="27"/>
  <c r="I43" i="27"/>
  <c r="H43" i="27"/>
  <c r="G43" i="27"/>
  <c r="F43" i="27"/>
  <c r="E43" i="27"/>
  <c r="L42" i="27"/>
  <c r="K42" i="27"/>
  <c r="J42" i="27"/>
  <c r="I42" i="27"/>
  <c r="H42" i="27"/>
  <c r="G42" i="27"/>
  <c r="F42" i="27"/>
  <c r="E42" i="27"/>
  <c r="L41" i="27"/>
  <c r="K41" i="27"/>
  <c r="J41" i="27"/>
  <c r="I41" i="27"/>
  <c r="H41" i="27"/>
  <c r="G41" i="27"/>
  <c r="F41" i="27"/>
  <c r="E41" i="27"/>
  <c r="L39" i="27"/>
  <c r="K39" i="27"/>
  <c r="J39" i="27"/>
  <c r="I39" i="27"/>
  <c r="H39" i="27"/>
  <c r="G39" i="27"/>
  <c r="F39" i="27"/>
  <c r="E39" i="27"/>
  <c r="L38" i="27"/>
  <c r="K38" i="27"/>
  <c r="J38" i="27"/>
  <c r="I38" i="27"/>
  <c r="H38" i="27"/>
  <c r="G38" i="27"/>
  <c r="F38" i="27"/>
  <c r="E38" i="27"/>
  <c r="L37" i="27"/>
  <c r="K37" i="27"/>
  <c r="J37" i="27"/>
  <c r="I37" i="27"/>
  <c r="H37" i="27"/>
  <c r="G37" i="27"/>
  <c r="F37" i="27"/>
  <c r="E37" i="27"/>
  <c r="L36" i="27"/>
  <c r="K36" i="27"/>
  <c r="J36" i="27"/>
  <c r="I36" i="27"/>
  <c r="H36" i="27"/>
  <c r="G36" i="27"/>
  <c r="F36" i="27"/>
  <c r="E36" i="27"/>
  <c r="L35" i="27"/>
  <c r="K35" i="27"/>
  <c r="J35" i="27"/>
  <c r="I35" i="27"/>
  <c r="H35" i="27"/>
  <c r="G35" i="27"/>
  <c r="F35" i="27"/>
  <c r="E35" i="27"/>
  <c r="L34" i="27"/>
  <c r="K34" i="27"/>
  <c r="J34" i="27"/>
  <c r="I34" i="27"/>
  <c r="H34" i="27"/>
  <c r="G34" i="27"/>
  <c r="F34" i="27"/>
  <c r="E34" i="27"/>
  <c r="L33" i="27"/>
  <c r="K33" i="27"/>
  <c r="J33" i="27"/>
  <c r="I33" i="27"/>
  <c r="H33" i="27"/>
  <c r="G33" i="27"/>
  <c r="F33" i="27"/>
  <c r="E33" i="27"/>
  <c r="L32" i="27"/>
  <c r="K32" i="27"/>
  <c r="J32" i="27"/>
  <c r="I32" i="27"/>
  <c r="H32" i="27"/>
  <c r="G32" i="27"/>
  <c r="F32" i="27"/>
  <c r="E32" i="27"/>
  <c r="L30" i="27"/>
  <c r="K30" i="27"/>
  <c r="J30" i="27"/>
  <c r="I30" i="27"/>
  <c r="H30" i="27"/>
  <c r="G30" i="27"/>
  <c r="F30" i="27"/>
  <c r="E30" i="27"/>
  <c r="L29" i="27"/>
  <c r="K29" i="27"/>
  <c r="J29" i="27"/>
  <c r="I29" i="27"/>
  <c r="H29" i="27"/>
  <c r="G29" i="27"/>
  <c r="F29" i="27"/>
  <c r="E29" i="27"/>
  <c r="L28" i="27"/>
  <c r="K28" i="27"/>
  <c r="J28" i="27"/>
  <c r="I28" i="27"/>
  <c r="H28" i="27"/>
  <c r="G28" i="27"/>
  <c r="F28" i="27"/>
  <c r="E28" i="27"/>
  <c r="L26" i="27"/>
  <c r="K26" i="27"/>
  <c r="J26" i="27"/>
  <c r="I26" i="27"/>
  <c r="H26" i="27"/>
  <c r="G26" i="27"/>
  <c r="F26" i="27"/>
  <c r="E26" i="27"/>
  <c r="L25" i="27"/>
  <c r="K25" i="27"/>
  <c r="J25" i="27"/>
  <c r="I25" i="27"/>
  <c r="H25" i="27"/>
  <c r="G25" i="27"/>
  <c r="F25" i="27"/>
  <c r="E25" i="27"/>
  <c r="L24" i="27"/>
  <c r="K24" i="27"/>
  <c r="J24" i="27"/>
  <c r="I24" i="27"/>
  <c r="H24" i="27"/>
  <c r="G24" i="27"/>
  <c r="F24" i="27"/>
  <c r="E24" i="27"/>
  <c r="L23" i="27"/>
  <c r="K23" i="27"/>
  <c r="J23" i="27"/>
  <c r="I23" i="27"/>
  <c r="H23" i="27"/>
  <c r="G23" i="27"/>
  <c r="F23" i="27"/>
  <c r="E23" i="27"/>
  <c r="L22" i="27"/>
  <c r="K22" i="27"/>
  <c r="J22" i="27"/>
  <c r="I22" i="27"/>
  <c r="H22" i="27"/>
  <c r="G22" i="27"/>
  <c r="F22" i="27"/>
  <c r="E22" i="27"/>
  <c r="L21" i="27"/>
  <c r="K21" i="27"/>
  <c r="J21" i="27"/>
  <c r="I21" i="27"/>
  <c r="H21" i="27"/>
  <c r="G21" i="27"/>
  <c r="F21" i="27"/>
  <c r="E21" i="27"/>
  <c r="L20" i="27"/>
  <c r="K20" i="27"/>
  <c r="J20" i="27"/>
  <c r="I20" i="27"/>
  <c r="H20" i="27"/>
  <c r="G20" i="27"/>
  <c r="F20" i="27"/>
  <c r="E20" i="27"/>
  <c r="L18" i="27"/>
  <c r="K18" i="27"/>
  <c r="J18" i="27"/>
  <c r="I18" i="27"/>
  <c r="H18" i="27"/>
  <c r="G18" i="27"/>
  <c r="F18" i="27"/>
  <c r="E18" i="27"/>
  <c r="L17" i="27"/>
  <c r="K17" i="27"/>
  <c r="J17" i="27"/>
  <c r="I17" i="27"/>
  <c r="H17" i="27"/>
  <c r="G17" i="27"/>
  <c r="F17" i="27"/>
  <c r="E17" i="27"/>
  <c r="L16" i="27"/>
  <c r="K16" i="27"/>
  <c r="J16" i="27"/>
  <c r="I16" i="27"/>
  <c r="H16" i="27"/>
  <c r="G16" i="27"/>
  <c r="F16" i="27"/>
  <c r="E16" i="27"/>
  <c r="L15" i="27"/>
  <c r="K15" i="27"/>
  <c r="J15" i="27"/>
  <c r="I15" i="27"/>
  <c r="H15" i="27"/>
  <c r="G15" i="27"/>
  <c r="F15" i="27"/>
  <c r="E15" i="27"/>
  <c r="L14" i="27"/>
  <c r="K14" i="27"/>
  <c r="J14" i="27"/>
  <c r="I14" i="27"/>
  <c r="H14" i="27"/>
  <c r="G14" i="27"/>
  <c r="F14" i="27"/>
  <c r="E14" i="27"/>
  <c r="L13" i="27"/>
  <c r="K13" i="27"/>
  <c r="J13" i="27"/>
  <c r="I13" i="27"/>
  <c r="H13" i="27"/>
  <c r="G13" i="27"/>
  <c r="F13" i="27"/>
  <c r="E13" i="27"/>
  <c r="L12" i="27"/>
  <c r="K12" i="27"/>
  <c r="J12" i="27"/>
  <c r="I12" i="27"/>
  <c r="H12" i="27"/>
  <c r="G12" i="27"/>
  <c r="F12" i="27"/>
  <c r="E12" i="27"/>
  <c r="L11" i="27"/>
  <c r="K11" i="27"/>
  <c r="J11" i="27"/>
  <c r="I11" i="27"/>
  <c r="H11" i="27"/>
  <c r="G11" i="27"/>
  <c r="F11" i="27"/>
  <c r="E11" i="27"/>
  <c r="L10" i="27"/>
  <c r="K10" i="27"/>
  <c r="J10" i="27"/>
  <c r="I10" i="27"/>
  <c r="H10" i="27"/>
  <c r="G10" i="27"/>
  <c r="F10" i="27"/>
  <c r="E10" i="27"/>
  <c r="L9" i="27"/>
  <c r="K9" i="27"/>
  <c r="J9" i="27"/>
  <c r="I9" i="27"/>
  <c r="H9" i="27"/>
  <c r="G9" i="27"/>
  <c r="F9" i="27"/>
  <c r="E9" i="27"/>
  <c r="L8" i="27"/>
  <c r="K8" i="27"/>
  <c r="J8" i="27"/>
  <c r="I8" i="27"/>
  <c r="H8" i="27"/>
  <c r="G8" i="27"/>
  <c r="F8" i="27"/>
  <c r="E8" i="27"/>
  <c r="L7" i="27"/>
  <c r="K7" i="27"/>
  <c r="J7" i="27"/>
  <c r="I7" i="27"/>
  <c r="H7" i="27"/>
  <c r="G7" i="27"/>
  <c r="F7" i="27"/>
  <c r="E7" i="27"/>
  <c r="L6" i="27"/>
  <c r="K6" i="27"/>
  <c r="J6" i="27"/>
  <c r="I6" i="27"/>
  <c r="H6" i="27"/>
  <c r="G6" i="27"/>
  <c r="F6" i="27"/>
  <c r="E6" i="27"/>
  <c r="L5" i="27"/>
  <c r="K5" i="27"/>
  <c r="J5" i="27"/>
  <c r="I5" i="27"/>
  <c r="H5" i="27"/>
  <c r="G5" i="27"/>
  <c r="F5" i="27"/>
  <c r="E5" i="27"/>
  <c r="L4" i="27"/>
  <c r="K4" i="27"/>
  <c r="J4" i="27"/>
  <c r="I4" i="27"/>
  <c r="H4" i="27"/>
  <c r="G4" i="27"/>
  <c r="F4" i="27"/>
  <c r="E4" i="27"/>
  <c r="L3" i="27"/>
  <c r="K3" i="27"/>
  <c r="J3" i="27"/>
  <c r="I3" i="27"/>
  <c r="H3" i="27"/>
  <c r="G3" i="27"/>
  <c r="F3" i="27"/>
  <c r="E3" i="27"/>
  <c r="A631" i="6" l="1"/>
  <c r="A632" i="6"/>
  <c r="A633" i="6"/>
  <c r="A634" i="6"/>
  <c r="A635" i="6"/>
  <c r="A636" i="6"/>
  <c r="A630" i="6"/>
  <c r="A298" i="6" l="1"/>
  <c r="J298" i="6" s="1"/>
  <c r="A297" i="6"/>
  <c r="J297" i="6" s="1"/>
  <c r="A296" i="6"/>
  <c r="J296" i="6" s="1"/>
  <c r="A295" i="6"/>
  <c r="J295" i="6" s="1"/>
  <c r="A294" i="6"/>
  <c r="J294" i="6" s="1"/>
  <c r="A293" i="6"/>
  <c r="J293" i="6" s="1"/>
  <c r="J635" i="6"/>
  <c r="J634" i="6"/>
  <c r="J633" i="6"/>
  <c r="J632" i="6"/>
  <c r="A629" i="6"/>
  <c r="J629" i="6" s="1"/>
  <c r="A628" i="6"/>
  <c r="J628" i="6" s="1"/>
  <c r="A627" i="6"/>
  <c r="J627" i="6" s="1"/>
  <c r="A626" i="6"/>
  <c r="J626" i="6" s="1"/>
  <c r="A625" i="6"/>
  <c r="J625" i="6" s="1"/>
  <c r="A624" i="6"/>
  <c r="J624" i="6" s="1"/>
  <c r="A623" i="6"/>
  <c r="J623" i="6" s="1"/>
  <c r="A622" i="6"/>
  <c r="J622" i="6" s="1"/>
  <c r="A621" i="6"/>
  <c r="J621" i="6" s="1"/>
  <c r="A620" i="6"/>
  <c r="J620" i="6" s="1"/>
  <c r="A619" i="6"/>
  <c r="J619" i="6" s="1"/>
  <c r="A618" i="6"/>
  <c r="J618" i="6" s="1"/>
  <c r="A617" i="6"/>
  <c r="J617" i="6" s="1"/>
  <c r="A616" i="6"/>
  <c r="J616" i="6" s="1"/>
  <c r="A615" i="6"/>
  <c r="J615" i="6" s="1"/>
  <c r="A614" i="6"/>
  <c r="J614" i="6" s="1"/>
  <c r="A613" i="6"/>
  <c r="J613" i="6" s="1"/>
  <c r="A612" i="6"/>
  <c r="J612" i="6" s="1"/>
  <c r="A611" i="6"/>
  <c r="J611" i="6" s="1"/>
  <c r="A610" i="6"/>
  <c r="J610" i="6" s="1"/>
  <c r="A609" i="6"/>
  <c r="J609" i="6" s="1"/>
  <c r="A608" i="6"/>
  <c r="J608" i="6" s="1"/>
  <c r="A607" i="6"/>
  <c r="J607" i="6" s="1"/>
  <c r="A606" i="6"/>
  <c r="J606" i="6" s="1"/>
  <c r="A605" i="6"/>
  <c r="J605" i="6" s="1"/>
  <c r="A604" i="6"/>
  <c r="J604" i="6" s="1"/>
  <c r="A603" i="6"/>
  <c r="J603" i="6" s="1"/>
  <c r="A602" i="6"/>
  <c r="J602" i="6" s="1"/>
  <c r="A601" i="6"/>
  <c r="J601" i="6" s="1"/>
  <c r="A600" i="6"/>
  <c r="J600" i="6" s="1"/>
  <c r="A599" i="6"/>
  <c r="J599" i="6" s="1"/>
  <c r="A598" i="6"/>
  <c r="J598" i="6" s="1"/>
  <c r="A597" i="6"/>
  <c r="J597" i="6" s="1"/>
  <c r="A596" i="6"/>
  <c r="J596" i="6" s="1"/>
  <c r="A595" i="6"/>
  <c r="J595" i="6" s="1"/>
  <c r="A594" i="6"/>
  <c r="J594" i="6" s="1"/>
  <c r="A593" i="6"/>
  <c r="J593" i="6" s="1"/>
  <c r="A592" i="6"/>
  <c r="J592" i="6" s="1"/>
  <c r="A591" i="6"/>
  <c r="J591" i="6" s="1"/>
  <c r="A590" i="6"/>
  <c r="J590" i="6" s="1"/>
  <c r="A589" i="6"/>
  <c r="J589" i="6" s="1"/>
  <c r="A588" i="6"/>
  <c r="J588" i="6" s="1"/>
  <c r="A587" i="6"/>
  <c r="J587" i="6" s="1"/>
  <c r="A586" i="6"/>
  <c r="J586" i="6" s="1"/>
  <c r="A585" i="6"/>
  <c r="J585" i="6" s="1"/>
  <c r="A584" i="6"/>
  <c r="J584" i="6" s="1"/>
  <c r="A583" i="6"/>
  <c r="J583" i="6" s="1"/>
  <c r="A582" i="6"/>
  <c r="J582" i="6" s="1"/>
  <c r="A581" i="6"/>
  <c r="J581" i="6" s="1"/>
  <c r="A580" i="6"/>
  <c r="J580" i="6" s="1"/>
  <c r="A579" i="6"/>
  <c r="J579" i="6" s="1"/>
  <c r="A578" i="6"/>
  <c r="J578" i="6" s="1"/>
  <c r="A577" i="6"/>
  <c r="J577" i="6" s="1"/>
  <c r="A576" i="6"/>
  <c r="J576" i="6" s="1"/>
  <c r="A575" i="6"/>
  <c r="J575" i="6" s="1"/>
  <c r="A574" i="6"/>
  <c r="J574" i="6" s="1"/>
  <c r="A573" i="6"/>
  <c r="J573" i="6" s="1"/>
  <c r="A572" i="6"/>
  <c r="J572" i="6" s="1"/>
  <c r="A571" i="6"/>
  <c r="J571" i="6" s="1"/>
  <c r="A570" i="6"/>
  <c r="J570" i="6" s="1"/>
  <c r="A569" i="6"/>
  <c r="J569" i="6" s="1"/>
  <c r="A568" i="6"/>
  <c r="J568" i="6" s="1"/>
  <c r="A567" i="6"/>
  <c r="J567" i="6" s="1"/>
  <c r="A566" i="6"/>
  <c r="J566" i="6" s="1"/>
  <c r="A565" i="6"/>
  <c r="J565" i="6" s="1"/>
  <c r="A564" i="6"/>
  <c r="J564" i="6" s="1"/>
  <c r="A563" i="6"/>
  <c r="J563" i="6" s="1"/>
  <c r="A562" i="6"/>
  <c r="J562" i="6" s="1"/>
  <c r="A561" i="6"/>
  <c r="J561" i="6" s="1"/>
  <c r="A560" i="6"/>
  <c r="J560" i="6" s="1"/>
  <c r="A559" i="6"/>
  <c r="J559" i="6" s="1"/>
  <c r="A558" i="6"/>
  <c r="J558" i="6" s="1"/>
  <c r="A557" i="6"/>
  <c r="J557" i="6" s="1"/>
  <c r="A556" i="6"/>
  <c r="J556" i="6" s="1"/>
  <c r="A555" i="6"/>
  <c r="J555" i="6" s="1"/>
  <c r="A554" i="6"/>
  <c r="J554" i="6" s="1"/>
  <c r="A553" i="6"/>
  <c r="J553" i="6" s="1"/>
  <c r="A552" i="6"/>
  <c r="J552" i="6" s="1"/>
  <c r="A551" i="6"/>
  <c r="J551" i="6" s="1"/>
  <c r="A550" i="6"/>
  <c r="J550" i="6" s="1"/>
  <c r="A549" i="6"/>
  <c r="J549" i="6" s="1"/>
  <c r="A548" i="6"/>
  <c r="J548" i="6" s="1"/>
  <c r="A547" i="6"/>
  <c r="J547" i="6" s="1"/>
  <c r="A546" i="6"/>
  <c r="J546" i="6" s="1"/>
  <c r="A545" i="6"/>
  <c r="J545" i="6" s="1"/>
  <c r="A544" i="6"/>
  <c r="J544" i="6" s="1"/>
  <c r="A543" i="6"/>
  <c r="J543" i="6" s="1"/>
  <c r="A542" i="6"/>
  <c r="J542" i="6" s="1"/>
  <c r="A541" i="6"/>
  <c r="J541" i="6" s="1"/>
  <c r="A540" i="6"/>
  <c r="J540" i="6" s="1"/>
  <c r="A539" i="6"/>
  <c r="J539" i="6" s="1"/>
  <c r="A538" i="6"/>
  <c r="J538" i="6" s="1"/>
  <c r="A537" i="6"/>
  <c r="J537" i="6" s="1"/>
  <c r="A536" i="6"/>
  <c r="J536" i="6" s="1"/>
  <c r="A535" i="6"/>
  <c r="J535" i="6" s="1"/>
  <c r="A534" i="6"/>
  <c r="J534" i="6" s="1"/>
  <c r="A533" i="6"/>
  <c r="J533" i="6" s="1"/>
  <c r="A532" i="6"/>
  <c r="J532" i="6" s="1"/>
  <c r="A531" i="6"/>
  <c r="J531" i="6" s="1"/>
  <c r="A530" i="6"/>
  <c r="J530" i="6" s="1"/>
  <c r="A529" i="6"/>
  <c r="J529" i="6" s="1"/>
  <c r="A528" i="6"/>
  <c r="J528" i="6" s="1"/>
  <c r="A527" i="6"/>
  <c r="J527" i="6" s="1"/>
  <c r="A526" i="6"/>
  <c r="J526" i="6" s="1"/>
  <c r="A525" i="6"/>
  <c r="J525" i="6" s="1"/>
  <c r="A524" i="6"/>
  <c r="J524" i="6" s="1"/>
  <c r="A523" i="6"/>
  <c r="J523" i="6" s="1"/>
  <c r="A522" i="6"/>
  <c r="J522" i="6" s="1"/>
  <c r="A521" i="6"/>
  <c r="J521" i="6" s="1"/>
  <c r="A520" i="6"/>
  <c r="J520" i="6" s="1"/>
  <c r="A519" i="6"/>
  <c r="J519" i="6" s="1"/>
  <c r="A518" i="6"/>
  <c r="J518" i="6" s="1"/>
  <c r="A517" i="6"/>
  <c r="J517" i="6" s="1"/>
  <c r="A516" i="6"/>
  <c r="J516" i="6" s="1"/>
  <c r="A515" i="6"/>
  <c r="J515" i="6" s="1"/>
  <c r="A514" i="6"/>
  <c r="J514" i="6" s="1"/>
  <c r="A513" i="6"/>
  <c r="J513" i="6" s="1"/>
  <c r="A512" i="6"/>
  <c r="J512" i="6" s="1"/>
  <c r="A511" i="6"/>
  <c r="J511" i="6" s="1"/>
  <c r="A510" i="6"/>
  <c r="J510" i="6" s="1"/>
  <c r="A509" i="6"/>
  <c r="J509" i="6" s="1"/>
  <c r="A508" i="6"/>
  <c r="J508" i="6" s="1"/>
  <c r="A507" i="6"/>
  <c r="J507" i="6" s="1"/>
  <c r="A506" i="6"/>
  <c r="J506" i="6" s="1"/>
  <c r="A505" i="6"/>
  <c r="J505" i="6" s="1"/>
  <c r="A504" i="6"/>
  <c r="J504" i="6" s="1"/>
  <c r="A503" i="6"/>
  <c r="J503" i="6" s="1"/>
  <c r="A502" i="6"/>
  <c r="J502" i="6" s="1"/>
  <c r="A501" i="6"/>
  <c r="J501" i="6" s="1"/>
  <c r="A500" i="6"/>
  <c r="J500" i="6" s="1"/>
  <c r="A499" i="6"/>
  <c r="J499" i="6" s="1"/>
  <c r="A498" i="6"/>
  <c r="J498" i="6" s="1"/>
  <c r="A497" i="6"/>
  <c r="J497" i="6" s="1"/>
  <c r="A496" i="6"/>
  <c r="J496" i="6" s="1"/>
  <c r="A495" i="6"/>
  <c r="J495" i="6" s="1"/>
  <c r="A494" i="6"/>
  <c r="J494" i="6" s="1"/>
  <c r="A493" i="6"/>
  <c r="J493" i="6" s="1"/>
  <c r="A492" i="6"/>
  <c r="J492" i="6" s="1"/>
  <c r="A491" i="6"/>
  <c r="J491" i="6" s="1"/>
  <c r="A490" i="6"/>
  <c r="J490" i="6" s="1"/>
  <c r="A489" i="6"/>
  <c r="J489" i="6" s="1"/>
  <c r="A488" i="6"/>
  <c r="J488" i="6" s="1"/>
  <c r="A487" i="6"/>
  <c r="J487" i="6" s="1"/>
  <c r="A486" i="6"/>
  <c r="J486" i="6" s="1"/>
  <c r="A485" i="6"/>
  <c r="J485" i="6" s="1"/>
  <c r="A484" i="6"/>
  <c r="J484" i="6" s="1"/>
  <c r="A483" i="6"/>
  <c r="J483" i="6" s="1"/>
  <c r="A482" i="6"/>
  <c r="J482" i="6" s="1"/>
  <c r="A481" i="6"/>
  <c r="J481" i="6" s="1"/>
  <c r="A480" i="6"/>
  <c r="J480" i="6" s="1"/>
  <c r="A479" i="6"/>
  <c r="J479" i="6" s="1"/>
  <c r="A478" i="6"/>
  <c r="J478" i="6" s="1"/>
  <c r="A477" i="6"/>
  <c r="J477" i="6" s="1"/>
  <c r="A476" i="6"/>
  <c r="J476" i="6" s="1"/>
  <c r="A475" i="6"/>
  <c r="J475" i="6" s="1"/>
  <c r="A474" i="6"/>
  <c r="J474" i="6" s="1"/>
  <c r="A473" i="6"/>
  <c r="J473" i="6" s="1"/>
  <c r="A472" i="6"/>
  <c r="J472" i="6" s="1"/>
  <c r="A471" i="6"/>
  <c r="J471" i="6" s="1"/>
  <c r="A470" i="6"/>
  <c r="J470" i="6" s="1"/>
  <c r="A469" i="6"/>
  <c r="J469" i="6" s="1"/>
  <c r="A468" i="6"/>
  <c r="J468" i="6" s="1"/>
  <c r="A467" i="6"/>
  <c r="J467" i="6" s="1"/>
  <c r="A466" i="6"/>
  <c r="J466" i="6" s="1"/>
  <c r="A465" i="6"/>
  <c r="J465" i="6" s="1"/>
  <c r="A464" i="6"/>
  <c r="J464" i="6" s="1"/>
  <c r="A463" i="6"/>
  <c r="J463" i="6" s="1"/>
  <c r="A462" i="6"/>
  <c r="J462" i="6" s="1"/>
  <c r="A461" i="6"/>
  <c r="J461" i="6" s="1"/>
  <c r="A460" i="6"/>
  <c r="J460" i="6" s="1"/>
  <c r="A459" i="6"/>
  <c r="J459" i="6" s="1"/>
  <c r="A458" i="6"/>
  <c r="J458" i="6" s="1"/>
  <c r="A457" i="6"/>
  <c r="J457" i="6" s="1"/>
  <c r="A456" i="6"/>
  <c r="J456" i="6" s="1"/>
  <c r="A455" i="6"/>
  <c r="J455" i="6" s="1"/>
  <c r="A454" i="6"/>
  <c r="J454" i="6" s="1"/>
  <c r="A453" i="6"/>
  <c r="J453" i="6" s="1"/>
  <c r="A452" i="6"/>
  <c r="J452" i="6" s="1"/>
  <c r="A451" i="6"/>
  <c r="J451" i="6" s="1"/>
  <c r="A450" i="6"/>
  <c r="J450" i="6" s="1"/>
  <c r="A449" i="6"/>
  <c r="J449" i="6" s="1"/>
  <c r="A448" i="6"/>
  <c r="J448" i="6" s="1"/>
  <c r="A447" i="6"/>
  <c r="J447" i="6" s="1"/>
  <c r="A446" i="6"/>
  <c r="J446" i="6" s="1"/>
  <c r="A445" i="6"/>
  <c r="J445" i="6" s="1"/>
  <c r="A444" i="6"/>
  <c r="J444" i="6" s="1"/>
  <c r="A443" i="6"/>
  <c r="J443" i="6" s="1"/>
  <c r="A442" i="6"/>
  <c r="J442" i="6" s="1"/>
  <c r="A441" i="6"/>
  <c r="J441" i="6" s="1"/>
  <c r="A440" i="6"/>
  <c r="J440" i="6" s="1"/>
  <c r="A439" i="6"/>
  <c r="J439" i="6" s="1"/>
  <c r="A438" i="6"/>
  <c r="J438" i="6" s="1"/>
  <c r="A437" i="6"/>
  <c r="J437" i="6" s="1"/>
  <c r="A436" i="6"/>
  <c r="J436" i="6" s="1"/>
  <c r="A435" i="6"/>
  <c r="J435" i="6" s="1"/>
  <c r="A434" i="6"/>
  <c r="J434" i="6" s="1"/>
  <c r="A433" i="6"/>
  <c r="J433" i="6" s="1"/>
  <c r="A432" i="6"/>
  <c r="J432" i="6" s="1"/>
  <c r="A431" i="6"/>
  <c r="J431" i="6" s="1"/>
  <c r="A430" i="6"/>
  <c r="J430" i="6" s="1"/>
  <c r="A429" i="6"/>
  <c r="J429" i="6" s="1"/>
  <c r="A428" i="6"/>
  <c r="J428" i="6" s="1"/>
  <c r="A427" i="6"/>
  <c r="J427" i="6" s="1"/>
  <c r="A426" i="6"/>
  <c r="J426" i="6" s="1"/>
  <c r="A425" i="6"/>
  <c r="J425" i="6" s="1"/>
  <c r="A424" i="6"/>
  <c r="J424" i="6" s="1"/>
  <c r="A423" i="6"/>
  <c r="J423" i="6" s="1"/>
  <c r="A422" i="6"/>
  <c r="J422" i="6" s="1"/>
  <c r="A421" i="6"/>
  <c r="J421" i="6" s="1"/>
  <c r="A420" i="6"/>
  <c r="J420" i="6" s="1"/>
  <c r="A419" i="6"/>
  <c r="J419" i="6" s="1"/>
  <c r="A418" i="6"/>
  <c r="J418" i="6" s="1"/>
  <c r="A417" i="6"/>
  <c r="J417" i="6" s="1"/>
  <c r="A416" i="6"/>
  <c r="J416" i="6" s="1"/>
  <c r="A415" i="6"/>
  <c r="J415" i="6" s="1"/>
  <c r="A414" i="6"/>
  <c r="J414" i="6" s="1"/>
  <c r="A413" i="6"/>
  <c r="J413" i="6" s="1"/>
  <c r="A412" i="6"/>
  <c r="J412" i="6" s="1"/>
  <c r="A411" i="6"/>
  <c r="J411" i="6" s="1"/>
  <c r="A410" i="6"/>
  <c r="J410" i="6" s="1"/>
  <c r="A409" i="6"/>
  <c r="J409" i="6" s="1"/>
  <c r="A408" i="6"/>
  <c r="J408" i="6" s="1"/>
  <c r="A407" i="6"/>
  <c r="J407" i="6" s="1"/>
  <c r="A406" i="6"/>
  <c r="J406" i="6" s="1"/>
  <c r="A405" i="6"/>
  <c r="J405" i="6" s="1"/>
  <c r="A404" i="6"/>
  <c r="J404" i="6" s="1"/>
  <c r="A403" i="6"/>
  <c r="J403" i="6" s="1"/>
  <c r="A402" i="6"/>
  <c r="J402" i="6" s="1"/>
  <c r="A401" i="6"/>
  <c r="J401" i="6" s="1"/>
  <c r="A400" i="6"/>
  <c r="J400" i="6" s="1"/>
  <c r="A399" i="6"/>
  <c r="J399" i="6" s="1"/>
  <c r="A398" i="6"/>
  <c r="J398" i="6" s="1"/>
  <c r="A397" i="6"/>
  <c r="J397" i="6" s="1"/>
  <c r="A396" i="6"/>
  <c r="J396" i="6" s="1"/>
  <c r="A395" i="6"/>
  <c r="J395" i="6" s="1"/>
  <c r="A394" i="6"/>
  <c r="J394" i="6" s="1"/>
  <c r="A393" i="6"/>
  <c r="J393" i="6" s="1"/>
  <c r="A392" i="6"/>
  <c r="J392" i="6" s="1"/>
  <c r="A391" i="6"/>
  <c r="J391" i="6" s="1"/>
  <c r="A390" i="6"/>
  <c r="J390" i="6" s="1"/>
  <c r="A389" i="6"/>
  <c r="J389" i="6" s="1"/>
  <c r="A388" i="6"/>
  <c r="J388" i="6" s="1"/>
  <c r="A387" i="6"/>
  <c r="J387" i="6" s="1"/>
  <c r="A386" i="6"/>
  <c r="J386" i="6" s="1"/>
  <c r="A385" i="6"/>
  <c r="J385" i="6" s="1"/>
  <c r="A384" i="6"/>
  <c r="J384" i="6" s="1"/>
  <c r="A383" i="6"/>
  <c r="J383" i="6" s="1"/>
  <c r="A382" i="6"/>
  <c r="J382" i="6" s="1"/>
  <c r="A381" i="6"/>
  <c r="J381" i="6" s="1"/>
  <c r="A380" i="6"/>
  <c r="J380" i="6" s="1"/>
  <c r="A379" i="6"/>
  <c r="J379" i="6" s="1"/>
  <c r="A378" i="6"/>
  <c r="J378" i="6" s="1"/>
  <c r="A377" i="6"/>
  <c r="J377" i="6" s="1"/>
  <c r="A376" i="6"/>
  <c r="J376" i="6" s="1"/>
  <c r="A375" i="6"/>
  <c r="J375" i="6" s="1"/>
  <c r="A374" i="6"/>
  <c r="J374" i="6" s="1"/>
  <c r="A373" i="6"/>
  <c r="J373" i="6" s="1"/>
  <c r="A372" i="6"/>
  <c r="J372" i="6" s="1"/>
  <c r="A371" i="6"/>
  <c r="J371" i="6" s="1"/>
  <c r="A370" i="6"/>
  <c r="J370" i="6" s="1"/>
  <c r="A369" i="6"/>
  <c r="J369" i="6" s="1"/>
  <c r="A368" i="6"/>
  <c r="J368" i="6" s="1"/>
  <c r="A367" i="6"/>
  <c r="J367" i="6" s="1"/>
  <c r="A366" i="6"/>
  <c r="J366" i="6" s="1"/>
  <c r="A365" i="6"/>
  <c r="J365" i="6" s="1"/>
  <c r="A364" i="6"/>
  <c r="J364" i="6" s="1"/>
  <c r="A363" i="6"/>
  <c r="J363" i="6" s="1"/>
  <c r="A362" i="6"/>
  <c r="J362" i="6" s="1"/>
  <c r="A361" i="6"/>
  <c r="J361" i="6" s="1"/>
  <c r="A360" i="6"/>
  <c r="J360" i="6" s="1"/>
  <c r="A359" i="6"/>
  <c r="J359" i="6" s="1"/>
  <c r="A358" i="6"/>
  <c r="J358" i="6" s="1"/>
  <c r="A357" i="6"/>
  <c r="J357" i="6" s="1"/>
  <c r="A356" i="6"/>
  <c r="J356" i="6" s="1"/>
  <c r="A355" i="6"/>
  <c r="J355" i="6" s="1"/>
  <c r="A354" i="6"/>
  <c r="J354" i="6" s="1"/>
  <c r="A353" i="6"/>
  <c r="J353" i="6" s="1"/>
  <c r="A352" i="6"/>
  <c r="J352" i="6" s="1"/>
  <c r="A351" i="6"/>
  <c r="J351" i="6" s="1"/>
  <c r="A350" i="6"/>
  <c r="J350" i="6" s="1"/>
  <c r="A349" i="6"/>
  <c r="J349" i="6" s="1"/>
  <c r="A348" i="6"/>
  <c r="J348" i="6" s="1"/>
  <c r="A347" i="6"/>
  <c r="J347" i="6" s="1"/>
  <c r="A346" i="6"/>
  <c r="J346" i="6" s="1"/>
  <c r="A345" i="6"/>
  <c r="J345" i="6" s="1"/>
  <c r="A344" i="6"/>
  <c r="J344" i="6" s="1"/>
  <c r="A343" i="6"/>
  <c r="J343" i="6" s="1"/>
  <c r="A342" i="6"/>
  <c r="J342" i="6" s="1"/>
  <c r="A341" i="6"/>
  <c r="J341" i="6" s="1"/>
  <c r="A340" i="6"/>
  <c r="J340" i="6" s="1"/>
  <c r="A339" i="6"/>
  <c r="J339" i="6" s="1"/>
  <c r="A338" i="6"/>
  <c r="J338" i="6" s="1"/>
  <c r="A337" i="6"/>
  <c r="J337" i="6" s="1"/>
  <c r="A336" i="6"/>
  <c r="J336" i="6" s="1"/>
  <c r="A335" i="6"/>
  <c r="J335" i="6" s="1"/>
  <c r="A334" i="6"/>
  <c r="J334" i="6" s="1"/>
  <c r="A333" i="6"/>
  <c r="J333" i="6" s="1"/>
  <c r="A332" i="6"/>
  <c r="J332" i="6" s="1"/>
  <c r="A331" i="6"/>
  <c r="J331" i="6" s="1"/>
  <c r="A330" i="6"/>
  <c r="J330" i="6" s="1"/>
  <c r="A329" i="6"/>
  <c r="J329" i="6" s="1"/>
  <c r="A328" i="6"/>
  <c r="J328" i="6" s="1"/>
  <c r="A327" i="6"/>
  <c r="J327" i="6" s="1"/>
  <c r="A326" i="6"/>
  <c r="J326" i="6" s="1"/>
  <c r="A325" i="6"/>
  <c r="J325" i="6" s="1"/>
  <c r="A324" i="6"/>
  <c r="J324" i="6" s="1"/>
  <c r="A323" i="6"/>
  <c r="J323" i="6" s="1"/>
  <c r="A322" i="6"/>
  <c r="J322" i="6" s="1"/>
  <c r="A321" i="6"/>
  <c r="J321" i="6" s="1"/>
  <c r="A320" i="6"/>
  <c r="J320" i="6" s="1"/>
  <c r="A319" i="6"/>
  <c r="J319" i="6" s="1"/>
  <c r="A318" i="6"/>
  <c r="J318" i="6" s="1"/>
  <c r="A317" i="6"/>
  <c r="J317" i="6" s="1"/>
  <c r="A316" i="6"/>
  <c r="J316" i="6" s="1"/>
  <c r="A315" i="6"/>
  <c r="J315" i="6" s="1"/>
  <c r="A314" i="6"/>
  <c r="J314" i="6" s="1"/>
  <c r="A313" i="6"/>
  <c r="J313" i="6" s="1"/>
  <c r="A312" i="6"/>
  <c r="J312" i="6" s="1"/>
  <c r="A311" i="6"/>
  <c r="J311" i="6" s="1"/>
  <c r="A310" i="6"/>
  <c r="J310" i="6" s="1"/>
  <c r="A309" i="6"/>
  <c r="J309" i="6" s="1"/>
  <c r="A308" i="6"/>
  <c r="J308" i="6" s="1"/>
  <c r="A307" i="6"/>
  <c r="J307" i="6" s="1"/>
  <c r="A306" i="6"/>
  <c r="J306" i="6" s="1"/>
  <c r="A305" i="6"/>
  <c r="J305" i="6" s="1"/>
  <c r="A304" i="6"/>
  <c r="J304" i="6" s="1"/>
  <c r="A303" i="6"/>
  <c r="J303" i="6" s="1"/>
  <c r="A302" i="6"/>
  <c r="J302" i="6" s="1"/>
  <c r="A301" i="6"/>
  <c r="J301" i="6" s="1"/>
  <c r="A300" i="6"/>
  <c r="J300" i="6" s="1"/>
  <c r="A299" i="6"/>
  <c r="J299" i="6" s="1"/>
  <c r="A292" i="6"/>
  <c r="J292" i="6" s="1"/>
  <c r="A291" i="6"/>
  <c r="J291" i="6" s="1"/>
  <c r="A290" i="6"/>
  <c r="J290" i="6" s="1"/>
  <c r="A289" i="6"/>
  <c r="J289" i="6" s="1"/>
  <c r="A288" i="6"/>
  <c r="J288" i="6" s="1"/>
  <c r="A287" i="6"/>
  <c r="J287" i="6" s="1"/>
  <c r="A286" i="6"/>
  <c r="J286" i="6" s="1"/>
  <c r="A285" i="6"/>
  <c r="J285" i="6" s="1"/>
  <c r="A284" i="6"/>
  <c r="J284" i="6" s="1"/>
  <c r="A283" i="6"/>
  <c r="J283" i="6" s="1"/>
  <c r="A282" i="6"/>
  <c r="J282" i="6" s="1"/>
  <c r="A281" i="6"/>
  <c r="J281" i="6" s="1"/>
  <c r="A280" i="6"/>
  <c r="J280" i="6" s="1"/>
  <c r="A279" i="6"/>
  <c r="J279" i="6" s="1"/>
  <c r="A278" i="6"/>
  <c r="J278" i="6" s="1"/>
  <c r="A277" i="6"/>
  <c r="J277" i="6" s="1"/>
  <c r="A276" i="6"/>
  <c r="J276" i="6" s="1"/>
  <c r="A275" i="6"/>
  <c r="J275" i="6" s="1"/>
  <c r="A274" i="6"/>
  <c r="J274" i="6" s="1"/>
  <c r="A273" i="6"/>
  <c r="J273" i="6" s="1"/>
  <c r="A272" i="6"/>
  <c r="J272" i="6" s="1"/>
  <c r="A271" i="6"/>
  <c r="J271" i="6" s="1"/>
  <c r="A270" i="6"/>
  <c r="J270" i="6" s="1"/>
  <c r="A269" i="6"/>
  <c r="J269" i="6" s="1"/>
  <c r="A268" i="6"/>
  <c r="J268" i="6" s="1"/>
  <c r="A267" i="6"/>
  <c r="J267" i="6" s="1"/>
  <c r="A266" i="6"/>
  <c r="J266" i="6" s="1"/>
  <c r="A265" i="6"/>
  <c r="J265" i="6" s="1"/>
  <c r="A264" i="6"/>
  <c r="J264" i="6" s="1"/>
  <c r="A263" i="6"/>
  <c r="J263" i="6" s="1"/>
  <c r="A262" i="6"/>
  <c r="J262" i="6" s="1"/>
  <c r="A261" i="6"/>
  <c r="J261" i="6" s="1"/>
  <c r="J260" i="6"/>
  <c r="J259" i="6"/>
  <c r="J258" i="6"/>
  <c r="J247" i="6"/>
  <c r="J241" i="6"/>
  <c r="J240" i="6"/>
  <c r="J239" i="6"/>
  <c r="J234" i="6"/>
  <c r="J233" i="6"/>
  <c r="J232" i="6"/>
  <c r="J231" i="6"/>
  <c r="J227" i="6"/>
  <c r="J225" i="6"/>
  <c r="J224" i="6"/>
  <c r="J223" i="6"/>
  <c r="J222" i="6"/>
  <c r="J221" i="6"/>
  <c r="J220" i="6"/>
  <c r="J219" i="6"/>
  <c r="J218" i="6"/>
  <c r="J207" i="6"/>
  <c r="J201" i="6"/>
  <c r="J200" i="6"/>
  <c r="J199" i="6"/>
  <c r="J198" i="6"/>
  <c r="J191" i="6"/>
  <c r="J187" i="6"/>
  <c r="J185" i="6"/>
  <c r="J184" i="6"/>
  <c r="J183" i="6"/>
  <c r="J182" i="6"/>
  <c r="J181" i="6"/>
  <c r="J180" i="6"/>
  <c r="J179" i="6"/>
  <c r="J178" i="6"/>
  <c r="J174" i="6"/>
  <c r="J173" i="6"/>
  <c r="J172" i="6"/>
  <c r="J171" i="6"/>
  <c r="J167" i="6"/>
  <c r="J161" i="6"/>
  <c r="J160" i="6"/>
  <c r="J159" i="6"/>
  <c r="J158" i="6"/>
  <c r="J147" i="6"/>
  <c r="J141" i="6"/>
  <c r="J140" i="6"/>
  <c r="J139" i="6"/>
  <c r="J138" i="6"/>
  <c r="J134" i="6"/>
  <c r="J132" i="6"/>
  <c r="J131" i="6"/>
  <c r="J130" i="6"/>
  <c r="J129" i="6"/>
  <c r="J128" i="6"/>
  <c r="J127" i="6"/>
  <c r="J126" i="6"/>
  <c r="J125" i="6"/>
  <c r="J118" i="6"/>
  <c r="J114" i="6"/>
  <c r="J109" i="6"/>
  <c r="J108" i="6"/>
  <c r="J107" i="6"/>
  <c r="J106" i="6"/>
  <c r="J105" i="6"/>
  <c r="J101" i="6"/>
  <c r="J100" i="6"/>
  <c r="J99" i="6"/>
  <c r="J98" i="6"/>
  <c r="J97" i="6"/>
  <c r="J96" i="6"/>
  <c r="J95" i="6"/>
  <c r="J94" i="6"/>
  <c r="J93" i="6"/>
  <c r="J92" i="6"/>
  <c r="J88" i="6"/>
  <c r="J87" i="6"/>
  <c r="J86" i="6"/>
  <c r="J85" i="6"/>
  <c r="J81" i="6"/>
  <c r="J76" i="6"/>
  <c r="J75" i="6"/>
  <c r="J74" i="6"/>
  <c r="J73" i="6"/>
  <c r="J72" i="6"/>
  <c r="J65" i="6"/>
  <c r="J636" i="6"/>
  <c r="J257" i="6"/>
  <c r="J256" i="6"/>
  <c r="J255" i="6"/>
  <c r="J254" i="6"/>
  <c r="J253" i="6"/>
  <c r="J252" i="6"/>
  <c r="J251" i="6"/>
  <c r="J250" i="6"/>
  <c r="J249" i="6"/>
  <c r="J248" i="6"/>
  <c r="J246" i="6"/>
  <c r="J245" i="6"/>
  <c r="J244" i="6"/>
  <c r="J243" i="6"/>
  <c r="J242" i="6"/>
  <c r="J238" i="6"/>
  <c r="J237" i="6"/>
  <c r="J236" i="6"/>
  <c r="J235" i="6"/>
  <c r="J230" i="6"/>
  <c r="J229" i="6"/>
  <c r="J228" i="6"/>
  <c r="J226" i="6"/>
  <c r="J217" i="6"/>
  <c r="J216" i="6"/>
  <c r="J215" i="6"/>
  <c r="J214" i="6"/>
  <c r="J213" i="6"/>
  <c r="J212" i="6"/>
  <c r="J211" i="6"/>
  <c r="J210" i="6"/>
  <c r="J209" i="6"/>
  <c r="J208" i="6"/>
  <c r="J206" i="6"/>
  <c r="J205" i="6"/>
  <c r="J204" i="6"/>
  <c r="J203" i="6"/>
  <c r="J202" i="6"/>
  <c r="J197" i="6"/>
  <c r="J196" i="6"/>
  <c r="J195" i="6"/>
  <c r="J194" i="6"/>
  <c r="J193" i="6"/>
  <c r="J192" i="6"/>
  <c r="J190" i="6"/>
  <c r="J189" i="6"/>
  <c r="J188" i="6"/>
  <c r="J186" i="6"/>
  <c r="J177" i="6"/>
  <c r="J176" i="6"/>
  <c r="J175" i="6"/>
  <c r="J170" i="6"/>
  <c r="J169" i="6"/>
  <c r="J168" i="6"/>
  <c r="J166" i="6"/>
  <c r="J165" i="6"/>
  <c r="J164" i="6"/>
  <c r="J163" i="6"/>
  <c r="J162" i="6"/>
  <c r="J157" i="6"/>
  <c r="J156" i="6"/>
  <c r="J155" i="6"/>
  <c r="J154" i="6"/>
  <c r="J153" i="6"/>
  <c r="J152" i="6"/>
  <c r="J151" i="6"/>
  <c r="J150" i="6"/>
  <c r="J149" i="6"/>
  <c r="J148" i="6"/>
  <c r="J146" i="6"/>
  <c r="J145" i="6"/>
  <c r="J144" i="6"/>
  <c r="J143" i="6"/>
  <c r="J142" i="6"/>
  <c r="J137" i="6"/>
  <c r="J136" i="6"/>
  <c r="J135" i="6"/>
  <c r="J133" i="6"/>
  <c r="J124" i="6"/>
  <c r="J123" i="6"/>
  <c r="J122" i="6"/>
  <c r="J121" i="6"/>
  <c r="J120" i="6"/>
  <c r="J119" i="6"/>
  <c r="J117" i="6"/>
  <c r="J116" i="6"/>
  <c r="J115" i="6"/>
  <c r="J113" i="6"/>
  <c r="J112" i="6"/>
  <c r="J111" i="6"/>
  <c r="J110" i="6"/>
  <c r="J104" i="6"/>
  <c r="J103" i="6"/>
  <c r="J102" i="6"/>
  <c r="J91" i="6"/>
  <c r="J90" i="6"/>
  <c r="J89" i="6"/>
  <c r="J84" i="6"/>
  <c r="J83" i="6"/>
  <c r="J82" i="6"/>
  <c r="J80" i="6"/>
  <c r="J79" i="6"/>
  <c r="J78" i="6"/>
  <c r="J77" i="6"/>
  <c r="J71" i="6"/>
  <c r="J70" i="6"/>
  <c r="J69" i="6"/>
  <c r="J68" i="6"/>
  <c r="J67" i="6"/>
  <c r="J66" i="6"/>
  <c r="G2" i="12"/>
  <c r="G3" i="12"/>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D65" i="12" l="1"/>
  <c r="G65" i="12" s="1"/>
  <c r="D66" i="12"/>
  <c r="G66" i="12" s="1"/>
  <c r="D67" i="12"/>
  <c r="G67" i="12" s="1"/>
  <c r="D68" i="12"/>
  <c r="G68" i="12" s="1"/>
  <c r="D69" i="12"/>
  <c r="G69" i="12" s="1"/>
  <c r="D70" i="12"/>
  <c r="G70" i="12" s="1"/>
  <c r="D71" i="12"/>
  <c r="G71" i="12" s="1"/>
  <c r="D72" i="12"/>
  <c r="G72" i="12" s="1"/>
  <c r="D73" i="12"/>
  <c r="G73" i="12" s="1"/>
  <c r="D74" i="12"/>
  <c r="G74" i="12" s="1"/>
  <c r="D75" i="12"/>
  <c r="G75" i="12" s="1"/>
  <c r="D76" i="12"/>
  <c r="G76" i="12" s="1"/>
  <c r="D77" i="12"/>
  <c r="G77" i="12" s="1"/>
  <c r="D78" i="12"/>
  <c r="G78" i="12" s="1"/>
  <c r="D79" i="12"/>
  <c r="G79" i="12" s="1"/>
  <c r="D80" i="12"/>
  <c r="G80" i="12" s="1"/>
  <c r="D81" i="12"/>
  <c r="G81" i="12" s="1"/>
  <c r="D82" i="12"/>
  <c r="G82" i="12" s="1"/>
  <c r="D83" i="12"/>
  <c r="G83" i="12" s="1"/>
  <c r="D84" i="12"/>
  <c r="G84" i="12" s="1"/>
  <c r="D85" i="12"/>
  <c r="G85" i="12" s="1"/>
  <c r="D86" i="12"/>
  <c r="G86" i="12" s="1"/>
  <c r="D87" i="12"/>
  <c r="G87" i="12" s="1"/>
  <c r="D88" i="12"/>
  <c r="G88" i="12" s="1"/>
  <c r="D89" i="12"/>
  <c r="G89" i="12" s="1"/>
  <c r="D90" i="12"/>
  <c r="G90" i="12" s="1"/>
  <c r="D91" i="12"/>
  <c r="G91" i="12" s="1"/>
  <c r="D92" i="12"/>
  <c r="G92" i="12" s="1"/>
  <c r="D93" i="12"/>
  <c r="G93" i="12" s="1"/>
  <c r="D94" i="12"/>
  <c r="G94" i="12" s="1"/>
  <c r="D95" i="12"/>
  <c r="G95" i="12" s="1"/>
  <c r="D96" i="12"/>
  <c r="G96" i="12" s="1"/>
  <c r="D97" i="12"/>
  <c r="G97" i="12" s="1"/>
  <c r="D98" i="12"/>
  <c r="G98" i="12" s="1"/>
  <c r="D99" i="12"/>
  <c r="G99" i="12" s="1"/>
  <c r="D100" i="12"/>
  <c r="G100" i="12" s="1"/>
  <c r="D101" i="12"/>
  <c r="G101" i="12" s="1"/>
  <c r="D102" i="12"/>
  <c r="G102" i="12" s="1"/>
  <c r="D103" i="12"/>
  <c r="G103" i="12" s="1"/>
  <c r="D104" i="12"/>
  <c r="G104" i="12" s="1"/>
  <c r="D105" i="12"/>
  <c r="G105" i="12" s="1"/>
  <c r="D106" i="12"/>
  <c r="G106" i="12" s="1"/>
  <c r="D107" i="12"/>
  <c r="G107" i="12" s="1"/>
  <c r="D108" i="12"/>
  <c r="G108" i="12" s="1"/>
  <c r="D109" i="12"/>
  <c r="G109" i="12" s="1"/>
  <c r="D110" i="12"/>
  <c r="G110" i="12" s="1"/>
  <c r="D111" i="12"/>
  <c r="G111" i="12" s="1"/>
  <c r="D112" i="12"/>
  <c r="G112" i="12" s="1"/>
  <c r="D113" i="12"/>
  <c r="G113" i="12" s="1"/>
  <c r="D114" i="12"/>
  <c r="G114" i="12" s="1"/>
  <c r="D115" i="12"/>
  <c r="G115" i="12" s="1"/>
  <c r="D116" i="12"/>
  <c r="G116" i="12" s="1"/>
  <c r="D117" i="12"/>
  <c r="G117" i="12" s="1"/>
  <c r="D118" i="12"/>
  <c r="G118" i="12" s="1"/>
  <c r="D119" i="12"/>
  <c r="G119" i="12" s="1"/>
  <c r="D120" i="12"/>
  <c r="G120" i="12" s="1"/>
  <c r="D121" i="12"/>
  <c r="G121" i="12" s="1"/>
  <c r="D122" i="12"/>
  <c r="G122" i="12" s="1"/>
  <c r="D123" i="12"/>
  <c r="G123" i="12" s="1"/>
  <c r="D124" i="12"/>
  <c r="G124" i="12" s="1"/>
  <c r="D125" i="12"/>
  <c r="G125" i="12" s="1"/>
  <c r="D126" i="12"/>
  <c r="G126" i="12" s="1"/>
  <c r="D127" i="12"/>
  <c r="G127" i="12" s="1"/>
  <c r="D128" i="12"/>
  <c r="G128" i="12" s="1"/>
  <c r="D129" i="12"/>
  <c r="G129" i="12" s="1"/>
  <c r="D130" i="12"/>
  <c r="G130" i="12" s="1"/>
  <c r="D131" i="12"/>
  <c r="G131" i="12" s="1"/>
  <c r="D132" i="12"/>
  <c r="G132" i="12" s="1"/>
  <c r="D133" i="12"/>
  <c r="G133" i="12" s="1"/>
  <c r="D134" i="12"/>
  <c r="G134" i="12" s="1"/>
  <c r="D135" i="12"/>
  <c r="G135" i="12" s="1"/>
  <c r="D136" i="12"/>
  <c r="G136" i="12" s="1"/>
  <c r="D137" i="12"/>
  <c r="G137" i="12" s="1"/>
  <c r="D138" i="12"/>
  <c r="G138" i="12" s="1"/>
  <c r="D139" i="12"/>
  <c r="G139" i="12" s="1"/>
  <c r="D140" i="12"/>
  <c r="G140" i="12" s="1"/>
  <c r="D141" i="12"/>
  <c r="G141" i="12" s="1"/>
  <c r="D142" i="12"/>
  <c r="G142" i="12" s="1"/>
  <c r="D143" i="12"/>
  <c r="G143" i="12" s="1"/>
  <c r="D144" i="12"/>
  <c r="G144" i="12" s="1"/>
  <c r="D145" i="12"/>
  <c r="G145" i="12" s="1"/>
  <c r="D146" i="12"/>
  <c r="G146" i="12" s="1"/>
  <c r="D147" i="12"/>
  <c r="G147" i="12" s="1"/>
  <c r="D148" i="12"/>
  <c r="G148" i="12" s="1"/>
  <c r="D149" i="12"/>
  <c r="G149" i="12" s="1"/>
  <c r="D150" i="12"/>
  <c r="G150" i="12" s="1"/>
  <c r="D151" i="12"/>
  <c r="G151" i="12" s="1"/>
  <c r="D152" i="12"/>
  <c r="G152" i="12" s="1"/>
  <c r="D153" i="12"/>
  <c r="G153" i="12" s="1"/>
  <c r="D154" i="12"/>
  <c r="G154" i="12" s="1"/>
  <c r="D155" i="12"/>
  <c r="G155" i="12" s="1"/>
  <c r="D156" i="12"/>
  <c r="G156" i="12" s="1"/>
  <c r="D157" i="12"/>
  <c r="G157" i="12" s="1"/>
  <c r="D158" i="12"/>
  <c r="G158" i="12" s="1"/>
  <c r="D159" i="12"/>
  <c r="G159" i="12" s="1"/>
  <c r="D160" i="12"/>
  <c r="G160" i="12" s="1"/>
  <c r="D161" i="12"/>
  <c r="G161" i="12" s="1"/>
  <c r="D162" i="12"/>
  <c r="G162" i="12" s="1"/>
  <c r="D163" i="12"/>
  <c r="G163" i="12" s="1"/>
  <c r="D164" i="12"/>
  <c r="G164" i="12" s="1"/>
  <c r="D165" i="12"/>
  <c r="G165" i="12" s="1"/>
  <c r="D166" i="12"/>
  <c r="G166" i="12" s="1"/>
  <c r="D167" i="12"/>
  <c r="G167" i="12" s="1"/>
  <c r="D168" i="12"/>
  <c r="G168" i="12" s="1"/>
  <c r="D169" i="12"/>
  <c r="G169" i="12" s="1"/>
  <c r="D170" i="12"/>
  <c r="G170" i="12" s="1"/>
  <c r="D171" i="12"/>
  <c r="G171" i="12" s="1"/>
  <c r="D172" i="12"/>
  <c r="G172" i="12" s="1"/>
  <c r="D173" i="12"/>
  <c r="G173" i="12" s="1"/>
  <c r="D174" i="12"/>
  <c r="G174" i="12" s="1"/>
  <c r="D175" i="12"/>
  <c r="G175" i="12" s="1"/>
  <c r="D176" i="12"/>
  <c r="G176" i="12" s="1"/>
  <c r="D177" i="12"/>
  <c r="G177" i="12" s="1"/>
  <c r="D178" i="12"/>
  <c r="G178" i="12" s="1"/>
  <c r="D179" i="12"/>
  <c r="G179" i="12" s="1"/>
  <c r="D180" i="12"/>
  <c r="G180" i="12" s="1"/>
  <c r="D181" i="12"/>
  <c r="G181" i="12" s="1"/>
  <c r="D182" i="12"/>
  <c r="G182" i="12" s="1"/>
  <c r="D183" i="12"/>
  <c r="G183" i="12" s="1"/>
  <c r="D184" i="12"/>
  <c r="G184" i="12" s="1"/>
  <c r="D185" i="12"/>
  <c r="G185" i="12" s="1"/>
  <c r="D186" i="12"/>
  <c r="G186" i="12" s="1"/>
  <c r="D187" i="12"/>
  <c r="G187" i="12" s="1"/>
  <c r="D188" i="12"/>
  <c r="G188" i="12" s="1"/>
  <c r="D189" i="12"/>
  <c r="G189" i="12" s="1"/>
  <c r="D190" i="12"/>
  <c r="G190" i="12" s="1"/>
  <c r="D191" i="12"/>
  <c r="G191" i="12" s="1"/>
  <c r="D192" i="12"/>
  <c r="G192" i="12" s="1"/>
  <c r="D193" i="12"/>
  <c r="G193" i="12" s="1"/>
  <c r="D194" i="12"/>
  <c r="G194" i="12" s="1"/>
  <c r="D195" i="12"/>
  <c r="G195" i="12" s="1"/>
  <c r="D196" i="12"/>
  <c r="G196" i="12" s="1"/>
  <c r="D197" i="12"/>
  <c r="G197" i="12" s="1"/>
  <c r="D198" i="12"/>
  <c r="G198" i="12" s="1"/>
  <c r="D199" i="12"/>
  <c r="G199" i="12" s="1"/>
  <c r="D200" i="12"/>
  <c r="G200" i="12" s="1"/>
  <c r="D201" i="12"/>
  <c r="G201" i="12" s="1"/>
  <c r="D202" i="12"/>
  <c r="G202" i="12" s="1"/>
  <c r="D203" i="12"/>
  <c r="G203" i="12" s="1"/>
  <c r="D204" i="12"/>
  <c r="G204" i="12" s="1"/>
  <c r="D205" i="12"/>
  <c r="G205" i="12" s="1"/>
  <c r="D206" i="12"/>
  <c r="G206" i="12" s="1"/>
  <c r="D207" i="12"/>
  <c r="G207" i="12" s="1"/>
  <c r="D208" i="12"/>
  <c r="G208" i="12" s="1"/>
  <c r="D209" i="12"/>
  <c r="G209" i="12" s="1"/>
  <c r="D210" i="12"/>
  <c r="G210" i="12" s="1"/>
  <c r="D211" i="12"/>
  <c r="G211" i="12" s="1"/>
  <c r="D212" i="12"/>
  <c r="G212" i="12" s="1"/>
  <c r="D213" i="12"/>
  <c r="G213" i="12" s="1"/>
  <c r="D214" i="12"/>
  <c r="G214" i="12" s="1"/>
  <c r="D215" i="12"/>
  <c r="G215" i="12" s="1"/>
  <c r="D216" i="12"/>
  <c r="G216" i="12" s="1"/>
  <c r="D217" i="12"/>
  <c r="G217" i="12" s="1"/>
  <c r="D218" i="12"/>
  <c r="G218" i="12" s="1"/>
  <c r="D219" i="12"/>
  <c r="G219" i="12" s="1"/>
  <c r="D220" i="12"/>
  <c r="G220" i="12" s="1"/>
  <c r="M448" i="6" l="1"/>
  <c r="M451" i="6"/>
  <c r="M452" i="6"/>
  <c r="M454" i="6"/>
  <c r="M456" i="6"/>
  <c r="M458" i="6"/>
  <c r="M460" i="6"/>
  <c r="M463" i="6"/>
  <c r="M466" i="6"/>
  <c r="M467" i="6"/>
  <c r="M479" i="6"/>
  <c r="M489" i="6"/>
  <c r="M490" i="6"/>
  <c r="M491" i="6"/>
  <c r="M492" i="6"/>
  <c r="M493" i="6"/>
  <c r="M494" i="6"/>
  <c r="M495" i="6"/>
  <c r="M496" i="6"/>
  <c r="M497" i="6"/>
  <c r="M498" i="6"/>
  <c r="M499" i="6"/>
  <c r="M500" i="6"/>
  <c r="M501" i="6"/>
  <c r="M502" i="6"/>
  <c r="M504" i="6"/>
  <c r="M508" i="6"/>
  <c r="M520" i="6"/>
  <c r="M522" i="6"/>
  <c r="M524" i="6"/>
  <c r="M525" i="6"/>
  <c r="M527" i="6"/>
  <c r="M529" i="6"/>
  <c r="M530" i="6"/>
  <c r="M532" i="6"/>
  <c r="M533" i="6"/>
  <c r="M535" i="6"/>
  <c r="M536" i="6"/>
  <c r="M546" i="6"/>
  <c r="M548" i="6"/>
  <c r="M549" i="6"/>
  <c r="M550" i="6"/>
  <c r="M551" i="6"/>
  <c r="M552" i="6"/>
  <c r="M562" i="6"/>
  <c r="M564" i="6"/>
  <c r="M565" i="6"/>
  <c r="M566" i="6"/>
  <c r="M567" i="6"/>
  <c r="M568" i="6"/>
  <c r="M578" i="6"/>
  <c r="M580" i="6"/>
  <c r="M581" i="6"/>
  <c r="M582" i="6"/>
  <c r="M446" i="6"/>
  <c r="M353" i="6" l="1"/>
  <c r="M355" i="6"/>
  <c r="M359" i="6"/>
  <c r="M361" i="6"/>
  <c r="M362" i="6"/>
  <c r="M363" i="6"/>
  <c r="M365" i="6"/>
  <c r="M368" i="6"/>
  <c r="M380" i="6"/>
  <c r="M390" i="6"/>
  <c r="M391" i="6"/>
  <c r="M393" i="6"/>
  <c r="M396" i="6"/>
  <c r="M408" i="6"/>
  <c r="M418" i="6"/>
  <c r="M419" i="6"/>
  <c r="M421" i="6"/>
  <c r="M424" i="6"/>
  <c r="M436" i="6"/>
  <c r="M351" i="6"/>
  <c r="M347" i="6"/>
  <c r="M345" i="6"/>
  <c r="M343" i="6"/>
  <c r="M339" i="6"/>
  <c r="M337" i="6"/>
  <c r="M335" i="6"/>
  <c r="M333" i="6"/>
  <c r="M329" i="6"/>
  <c r="M327" i="6"/>
  <c r="M254" i="6"/>
  <c r="M256" i="6"/>
  <c r="M257" i="6"/>
  <c r="M259" i="6"/>
  <c r="M260" i="6"/>
  <c r="M247" i="6"/>
  <c r="M245" i="6"/>
  <c r="M253" i="6"/>
  <c r="M251" i="6"/>
  <c r="M248" i="6"/>
  <c r="M242" i="6"/>
  <c r="M237" i="6"/>
  <c r="M236" i="6"/>
  <c r="M234" i="6"/>
  <c r="M231" i="6"/>
  <c r="M229" i="6"/>
  <c r="M227" i="6"/>
  <c r="M225" i="6"/>
  <c r="M224" i="6"/>
  <c r="M223" i="6"/>
  <c r="M221" i="6"/>
  <c r="M217" i="6"/>
  <c r="M216" i="6"/>
  <c r="M214" i="6"/>
  <c r="M210" i="6"/>
  <c r="M207" i="6"/>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 i="12" l="1"/>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2" i="12"/>
  <c r="J15" i="6"/>
  <c r="J16" i="6"/>
  <c r="J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山田 幸一(冷電 ＭＥＥ和事)</author>
  </authors>
  <commentList>
    <comment ref="D4" authorId="0" shapeId="0" xr:uid="{01D26934-B377-48E0-A7ED-D45B8569B1D2}">
      <text>
        <r>
          <rPr>
            <sz val="9"/>
            <color indexed="81"/>
            <rFont val="游ゴシック"/>
            <family val="3"/>
            <charset val="128"/>
            <scheme val="minor"/>
          </rPr>
          <t xml:space="preserve">Standard 住宅版
Independent 戸建て
Apartment 集合住宅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4551C9-B773-4B30-94DE-EBBF696A7501}" name="resume" type="4" refreshedVersion="0" background="1">
    <webPr xml="1" sourceData="1" url="C:\Users\UQ94339\Downloads\resume.xml" htmlTables="1" htmlFormat="all"/>
  </connection>
</connections>
</file>

<file path=xl/sharedStrings.xml><?xml version="1.0" encoding="utf-8"?>
<sst xmlns="http://schemas.openxmlformats.org/spreadsheetml/2006/main" count="4242" uniqueCount="1733">
  <si>
    <t>入力責任者</t>
  </si>
  <si>
    <t>住戸の評価方法</t>
  </si>
  <si>
    <t>○○○○邸</t>
  </si>
  <si>
    <t>住戸全体を対象に評価する</t>
  </si>
  <si>
    <t>増改築部分を対象に評価する</t>
  </si>
  <si>
    <t>戸建住宅</t>
    <phoneticPr fontId="1"/>
  </si>
  <si>
    <t>居室の構成</t>
  </si>
  <si>
    <t>地域の区分</t>
  </si>
  <si>
    <t>年間の日射地域区分の指定</t>
  </si>
  <si>
    <t>年間の日射地域区分</t>
  </si>
  <si>
    <t>三菱太郎</t>
    <rPh sb="0" eb="2">
      <t>ミツビシ</t>
    </rPh>
    <rPh sb="2" eb="4">
      <t>タロウ</t>
    </rPh>
    <phoneticPr fontId="1"/>
  </si>
  <si>
    <t>主たる居室とその他の居室、非居室で構成される</t>
  </si>
  <si>
    <t>上記以外の構成</t>
  </si>
  <si>
    <t>1地域</t>
  </si>
  <si>
    <t>2地域</t>
  </si>
  <si>
    <t>3地域</t>
  </si>
  <si>
    <t>4地域</t>
  </si>
  <si>
    <t>5地域</t>
  </si>
  <si>
    <t>6地域</t>
  </si>
  <si>
    <t>7地域</t>
  </si>
  <si>
    <t>8地域</t>
  </si>
  <si>
    <t>指定しない</t>
  </si>
  <si>
    <t>A1区分（年間の日射量が特に少ない地域）</t>
  </si>
  <si>
    <t>A2区分（年間の日射量が少ない地域）</t>
  </si>
  <si>
    <t>A3区分（年間の日射量が中程度の地域）</t>
  </si>
  <si>
    <t>A4区分（年間の日射量が多い地域）</t>
  </si>
  <si>
    <t>A5区分（年間の日射量が特に多い地域）</t>
  </si>
  <si>
    <t>指定する</t>
    <phoneticPr fontId="1"/>
  </si>
  <si>
    <t>外皮</t>
    <rPh sb="0" eb="2">
      <t>ガイヒ</t>
    </rPh>
    <phoneticPr fontId="1"/>
  </si>
  <si>
    <t>外皮平均熱貫流率（UA）</t>
  </si>
  <si>
    <t>冷房期の平均日射熱取得率（ηAC）</t>
  </si>
  <si>
    <t>暖房期の平均日射熱取得率（ηAH）</t>
  </si>
  <si>
    <t>蓄熱の利用</t>
  </si>
  <si>
    <t>床下空間を経由して外気を導入する換気方式の利用</t>
  </si>
  <si>
    <t>当該住戸の外皮面積を用いて外皮性能を評価する</t>
  </si>
  <si>
    <t>仕様基準により外皮性能を評価する</t>
  </si>
  <si>
    <t>誘導仕様基準により外皮性能を評価する（住戸全体を対象に評価）</t>
  </si>
  <si>
    <t>誘導仕様基準により外皮性能を評価する（増改築部分を対象に評価）</t>
  </si>
  <si>
    <t>外皮面積の合計</t>
  </si>
  <si>
    <t>評価しない、または利用しない</t>
  </si>
  <si>
    <t>評価しない、または利用しない</t>
    <phoneticPr fontId="1"/>
  </si>
  <si>
    <t>利用する</t>
    <phoneticPr fontId="1"/>
  </si>
  <si>
    <t>通年利用する</t>
  </si>
  <si>
    <t>通年利用する</t>
    <phoneticPr fontId="1"/>
  </si>
  <si>
    <t>外気が経由する床下の面積の割合</t>
    <phoneticPr fontId="1"/>
  </si>
  <si>
    <t>床下空間の断熱</t>
  </si>
  <si>
    <t>断熱区画外</t>
  </si>
  <si>
    <t>断熱区画内</t>
  </si>
  <si>
    <t>暖房方式</t>
  </si>
  <si>
    <t>居室のみを暖房する</t>
  </si>
  <si>
    <t>住戸全体を暖房する</t>
  </si>
  <si>
    <t>設置しない</t>
  </si>
  <si>
    <t>ルームエアコンディショナー</t>
  </si>
  <si>
    <t>基準値の算定において想定される機器（増改築部分を対象に評価する場合の基準設定仕様）</t>
  </si>
  <si>
    <t>入力しない（規定値を用いる）</t>
  </si>
  <si>
    <t>入力する</t>
  </si>
  <si>
    <t>評価しない</t>
  </si>
  <si>
    <t>温水暖房機の種類</t>
  </si>
  <si>
    <t>ガス従来型温水暖房機</t>
  </si>
  <si>
    <t>ガス潜熱回収型温水暖房機</t>
  </si>
  <si>
    <t>石油従来型温水暖房機</t>
  </si>
  <si>
    <t>石油潜熱回収型温水暖房機</t>
  </si>
  <si>
    <t>電気ヒーター温水暖房機</t>
  </si>
  <si>
    <t>地中熱ヒートポンプ温水暖房機</t>
  </si>
  <si>
    <t>給湯・温水暖房一体型</t>
  </si>
  <si>
    <t>コージェネレーション</t>
  </si>
  <si>
    <t>その他の温水暖房機</t>
  </si>
  <si>
    <t>温水暖房機を設置しない</t>
  </si>
  <si>
    <t>エネルギー消費効率の入力</t>
  </si>
  <si>
    <t>断熱配管</t>
  </si>
  <si>
    <t>評価しない、または採用しない</t>
  </si>
  <si>
    <t>採用する</t>
  </si>
  <si>
    <t>配管が通過する空間</t>
  </si>
  <si>
    <t>評価しない、または全てもしくは一部が断熱区画外である</t>
  </si>
  <si>
    <t>全て断熱区画内である</t>
  </si>
  <si>
    <t>暖房設備機器の種類</t>
  </si>
  <si>
    <t>ダクト式セントラル空調機（ヒートポンプ式熱源）</t>
  </si>
  <si>
    <t>ダクトが通過する空間</t>
  </si>
  <si>
    <t>VAV方式</t>
  </si>
  <si>
    <t>採用しない</t>
  </si>
  <si>
    <t>全般換気機能</t>
  </si>
  <si>
    <t>全般換気機能あり</t>
  </si>
  <si>
    <t>全般換気機能なし</t>
  </si>
  <si>
    <t>機器の仕様の入力</t>
  </si>
  <si>
    <t>定格能力試験の値を入力する</t>
  </si>
  <si>
    <t>定格能力試験と中間能力試験の値を入力する</t>
  </si>
  <si>
    <t>設計風量の入力</t>
  </si>
  <si>
    <t>共同住宅</t>
    <phoneticPr fontId="1"/>
  </si>
  <si>
    <t>基本03_住宅の建て方</t>
  </si>
  <si>
    <t>基本03_住宅の建て方</t>
    <phoneticPr fontId="1"/>
  </si>
  <si>
    <t>基本01_住宅タイプの名称</t>
    <phoneticPr fontId="1"/>
  </si>
  <si>
    <t>基本02_入力責任者</t>
    <phoneticPr fontId="1"/>
  </si>
  <si>
    <t>基本04_住戸の評価方法</t>
  </si>
  <si>
    <t>基本04_住戸の評価方法</t>
    <phoneticPr fontId="1"/>
  </si>
  <si>
    <t>基本05_居室の構成</t>
    <phoneticPr fontId="1"/>
  </si>
  <si>
    <t>TriggerValue</t>
    <phoneticPr fontId="1"/>
  </si>
  <si>
    <t>戸建住宅</t>
  </si>
  <si>
    <t>No.</t>
    <phoneticPr fontId="1"/>
  </si>
  <si>
    <t>TriggerCellName</t>
    <phoneticPr fontId="1"/>
  </si>
  <si>
    <t>共同住宅</t>
  </si>
  <si>
    <t>基本</t>
  </si>
  <si>
    <t>基本</t>
    <phoneticPr fontId="1"/>
  </si>
  <si>
    <t>三菱太郎</t>
  </si>
  <si>
    <t>指定する</t>
  </si>
  <si>
    <t>基本08_床面積</t>
    <phoneticPr fontId="1"/>
  </si>
  <si>
    <t>基本06_その他の居室の有無</t>
    <phoneticPr fontId="1"/>
  </si>
  <si>
    <t>基本07_非居室の有無</t>
    <phoneticPr fontId="1"/>
  </si>
  <si>
    <t>基本09_床面積</t>
    <phoneticPr fontId="1"/>
  </si>
  <si>
    <t>基本10_床面積</t>
    <phoneticPr fontId="1"/>
  </si>
  <si>
    <t>基本11_地域の区分</t>
    <phoneticPr fontId="1"/>
  </si>
  <si>
    <t>基本12_年間の日射地域区分の指定</t>
    <phoneticPr fontId="1"/>
  </si>
  <si>
    <t>基本13_年間の日射地域区分</t>
    <phoneticPr fontId="1"/>
  </si>
  <si>
    <t>指定しない</t>
    <phoneticPr fontId="1"/>
  </si>
  <si>
    <t>基本12, 基本13</t>
  </si>
  <si>
    <t>基本12, 基本13</t>
    <phoneticPr fontId="1"/>
  </si>
  <si>
    <t>有（その他の居室）</t>
    <rPh sb="0" eb="1">
      <t>アリ</t>
    </rPh>
    <phoneticPr fontId="1"/>
  </si>
  <si>
    <t>無（その他の居室）</t>
    <rPh sb="0" eb="1">
      <t>ナシ</t>
    </rPh>
    <phoneticPr fontId="1"/>
  </si>
  <si>
    <t>有（非居室）</t>
    <rPh sb="0" eb="1">
      <t>アリ</t>
    </rPh>
    <phoneticPr fontId="1"/>
  </si>
  <si>
    <t>無（非居室）</t>
    <rPh sb="0" eb="1">
      <t>ナシ</t>
    </rPh>
    <phoneticPr fontId="1"/>
  </si>
  <si>
    <t>基本08, 基本09, 基本10</t>
    <phoneticPr fontId="1"/>
  </si>
  <si>
    <t>基本06, 基本07, 基本08, 基本09, 基本10, 基本11, 基本12</t>
    <phoneticPr fontId="1"/>
  </si>
  <si>
    <t>基本05, 基本08, 基本09, 基本10, 基本11, 基本12</t>
    <phoneticPr fontId="1"/>
  </si>
  <si>
    <t>基本13</t>
    <phoneticPr fontId="1"/>
  </si>
  <si>
    <t>基本05, 基本08, 基本09, 基本10, 基本11, 基本12</t>
  </si>
  <si>
    <t>日付</t>
    <rPh sb="0" eb="2">
      <t>ヒヅケ</t>
    </rPh>
    <phoneticPr fontId="1"/>
  </si>
  <si>
    <t>分類</t>
    <rPh sb="0" eb="2">
      <t>ブンルイ</t>
    </rPh>
    <phoneticPr fontId="1"/>
  </si>
  <si>
    <t>内容</t>
    <rPh sb="0" eb="2">
      <t>ナイヨウ</t>
    </rPh>
    <phoneticPr fontId="1"/>
  </si>
  <si>
    <t>関数</t>
    <rPh sb="0" eb="2">
      <t>カンスウ</t>
    </rPh>
    <phoneticPr fontId="1"/>
  </si>
  <si>
    <t>数字を2桁表示にする関数⇒ TEXT(ROW()-1,"00")</t>
    <rPh sb="0" eb="2">
      <t>スウジ</t>
    </rPh>
    <rPh sb="4" eb="5">
      <t>ケタ</t>
    </rPh>
    <rPh sb="5" eb="7">
      <t>ヒョウジ</t>
    </rPh>
    <rPh sb="10" eb="12">
      <t>カンスウ</t>
    </rPh>
    <phoneticPr fontId="1"/>
  </si>
  <si>
    <t>大分類</t>
    <rPh sb="0" eb="3">
      <t>ダイブンルイ</t>
    </rPh>
    <phoneticPr fontId="1"/>
  </si>
  <si>
    <t>セル内容を作成する</t>
    <rPh sb="2" eb="4">
      <t>ナイヨウ</t>
    </rPh>
    <rPh sb="5" eb="7">
      <t>サクセイ</t>
    </rPh>
    <phoneticPr fontId="1"/>
  </si>
  <si>
    <t>基本情報</t>
    <rPh sb="0" eb="4">
      <t>キホンジョウホウ</t>
    </rPh>
    <phoneticPr fontId="1"/>
  </si>
  <si>
    <t>暖房</t>
    <rPh sb="0" eb="2">
      <t>ダンボウ</t>
    </rPh>
    <phoneticPr fontId="1"/>
  </si>
  <si>
    <t>冷房</t>
    <rPh sb="0" eb="2">
      <t>レイボウ</t>
    </rPh>
    <phoneticPr fontId="1"/>
  </si>
  <si>
    <t>換気</t>
    <rPh sb="0" eb="2">
      <t>カンキ</t>
    </rPh>
    <phoneticPr fontId="1"/>
  </si>
  <si>
    <t>熱交換</t>
    <rPh sb="0" eb="3">
      <t>ネツコウカン</t>
    </rPh>
    <phoneticPr fontId="1"/>
  </si>
  <si>
    <t>給湯</t>
    <rPh sb="0" eb="2">
      <t>キュウトウ</t>
    </rPh>
    <phoneticPr fontId="1"/>
  </si>
  <si>
    <t>照明</t>
    <rPh sb="0" eb="2">
      <t>ショウメイ</t>
    </rPh>
    <phoneticPr fontId="1"/>
  </si>
  <si>
    <t>太陽光</t>
    <rPh sb="0" eb="3">
      <t>タイヨウコウ</t>
    </rPh>
    <phoneticPr fontId="1"/>
  </si>
  <si>
    <t>太陽熱</t>
    <rPh sb="0" eb="3">
      <t>タイヨウネツ</t>
    </rPh>
    <phoneticPr fontId="1"/>
  </si>
  <si>
    <t>コージュネ</t>
    <phoneticPr fontId="1"/>
  </si>
  <si>
    <t>計算用シートを新規作成する</t>
    <rPh sb="0" eb="3">
      <t>ケイサンヨウ</t>
    </rPh>
    <rPh sb="7" eb="9">
      <t>シンキ</t>
    </rPh>
    <rPh sb="9" eb="11">
      <t>サクセイ</t>
    </rPh>
    <phoneticPr fontId="1"/>
  </si>
  <si>
    <t>外皮02</t>
  </si>
  <si>
    <t>外皮02</t>
    <phoneticPr fontId="1"/>
  </si>
  <si>
    <t>外皮03</t>
  </si>
  <si>
    <t>外皮04</t>
  </si>
  <si>
    <t>外皮05</t>
  </si>
  <si>
    <t>外皮05_床下空間を経由して外気を導入する換気方式の利用</t>
    <phoneticPr fontId="1"/>
  </si>
  <si>
    <t>外皮05_外気が経由する床下の面積の割合</t>
    <phoneticPr fontId="1"/>
  </si>
  <si>
    <t>外皮05_床下空間の断熱</t>
    <phoneticPr fontId="1"/>
  </si>
  <si>
    <t>入力規則</t>
    <rPh sb="0" eb="2">
      <t>ニュウリョク</t>
    </rPh>
    <rPh sb="2" eb="4">
      <t>キソク</t>
    </rPh>
    <phoneticPr fontId="1"/>
  </si>
  <si>
    <t>セル名に使用できない文字⇒ 括弧</t>
    <rPh sb="2" eb="3">
      <t>メイ</t>
    </rPh>
    <rPh sb="4" eb="6">
      <t>シヨウ</t>
    </rPh>
    <rPh sb="10" eb="12">
      <t>モジ</t>
    </rPh>
    <rPh sb="14" eb="16">
      <t>カッコ</t>
    </rPh>
    <phoneticPr fontId="1"/>
  </si>
  <si>
    <t>利用する</t>
  </si>
  <si>
    <t>Sheet</t>
    <phoneticPr fontId="1"/>
  </si>
  <si>
    <t>6地域</t>
    <phoneticPr fontId="1"/>
  </si>
  <si>
    <t>外皮02, 外皮03, 外皮04, 外皮05, 外皮06, 外皮07, 外皮08, 外皮09</t>
    <phoneticPr fontId="1"/>
  </si>
  <si>
    <t>10</t>
  </si>
  <si>
    <t>3.0</t>
  </si>
  <si>
    <t>3.0</t>
    <phoneticPr fontId="1"/>
  </si>
  <si>
    <t>0.60</t>
  </si>
  <si>
    <t>0.60</t>
    <phoneticPr fontId="1"/>
  </si>
  <si>
    <t>0.87</t>
  </si>
  <si>
    <t>0.87</t>
    <phoneticPr fontId="1"/>
  </si>
  <si>
    <t>307.51</t>
  </si>
  <si>
    <t>307.51</t>
    <phoneticPr fontId="1"/>
  </si>
  <si>
    <t>2.8</t>
  </si>
  <si>
    <t>2.8</t>
    <phoneticPr fontId="1"/>
  </si>
  <si>
    <t>1.7</t>
  </si>
  <si>
    <t>1.7</t>
    <phoneticPr fontId="1"/>
  </si>
  <si>
    <t>4.3</t>
  </si>
  <si>
    <t>4.3</t>
    <phoneticPr fontId="1"/>
  </si>
  <si>
    <t>外皮10, 外皮11</t>
    <phoneticPr fontId="1"/>
  </si>
  <si>
    <t>暖房01</t>
    <rPh sb="0" eb="2">
      <t>ダンボウ</t>
    </rPh>
    <phoneticPr fontId="1"/>
  </si>
  <si>
    <t>暖房02</t>
    <rPh sb="0" eb="2">
      <t>ダンボウ</t>
    </rPh>
    <phoneticPr fontId="1"/>
  </si>
  <si>
    <t>暖房03</t>
    <rPh sb="0" eb="2">
      <t>ダンボウ</t>
    </rPh>
    <phoneticPr fontId="1"/>
  </si>
  <si>
    <t>暖房04</t>
    <rPh sb="0" eb="2">
      <t>ダンボウ</t>
    </rPh>
    <phoneticPr fontId="1"/>
  </si>
  <si>
    <t>暖房05</t>
    <rPh sb="0" eb="2">
      <t>ダンボウ</t>
    </rPh>
    <phoneticPr fontId="1"/>
  </si>
  <si>
    <t>区分（い）</t>
  </si>
  <si>
    <t>評価しない、または搭載しない</t>
  </si>
  <si>
    <t>搭載する</t>
  </si>
  <si>
    <t>定格能力におけるエネルギー消費効率</t>
  </si>
  <si>
    <t>40.0</t>
  </si>
  <si>
    <t>40.0</t>
    <phoneticPr fontId="1"/>
  </si>
  <si>
    <t>70</t>
    <phoneticPr fontId="1"/>
  </si>
  <si>
    <t>80</t>
    <phoneticPr fontId="1"/>
  </si>
  <si>
    <t>90</t>
    <phoneticPr fontId="1"/>
  </si>
  <si>
    <t>100</t>
    <phoneticPr fontId="1"/>
  </si>
  <si>
    <t>86.0</t>
  </si>
  <si>
    <t>86.0</t>
    <phoneticPr fontId="1"/>
  </si>
  <si>
    <t>10.0</t>
  </si>
  <si>
    <t>10.0</t>
    <phoneticPr fontId="1"/>
  </si>
  <si>
    <t>20.0</t>
    <phoneticPr fontId="1"/>
  </si>
  <si>
    <t>30.0</t>
    <phoneticPr fontId="1"/>
  </si>
  <si>
    <t>50.0</t>
    <phoneticPr fontId="1"/>
  </si>
  <si>
    <t>60.0</t>
    <phoneticPr fontId="1"/>
  </si>
  <si>
    <t>70.0</t>
    <phoneticPr fontId="1"/>
  </si>
  <si>
    <t>80.0</t>
    <phoneticPr fontId="1"/>
  </si>
  <si>
    <t>90.0</t>
    <phoneticPr fontId="1"/>
  </si>
  <si>
    <t>100.0</t>
    <phoneticPr fontId="1"/>
  </si>
  <si>
    <t>利用する（換気回数5回/h相当以上）</t>
  </si>
  <si>
    <t>利用する（換気回数20回/h相当以上）</t>
  </si>
  <si>
    <t>ルームエアコンディショナー</t>
    <phoneticPr fontId="1"/>
  </si>
  <si>
    <t>FF暖房機</t>
    <phoneticPr fontId="1"/>
  </si>
  <si>
    <t>電気蓄熱暖房器</t>
    <phoneticPr fontId="1"/>
  </si>
  <si>
    <t>電気ヒーター床暖房</t>
    <phoneticPr fontId="1"/>
  </si>
  <si>
    <t>ルームエアコンディショナー付温水床暖房機</t>
    <phoneticPr fontId="1"/>
  </si>
  <si>
    <t>温水床暖房</t>
    <phoneticPr fontId="1"/>
  </si>
  <si>
    <t>パネルラジエーター</t>
    <phoneticPr fontId="1"/>
  </si>
  <si>
    <t>ファンコンベクター</t>
    <phoneticPr fontId="1"/>
  </si>
  <si>
    <t>ペレットストーブ</t>
    <phoneticPr fontId="1"/>
  </si>
  <si>
    <t>その他の暖房設備機器</t>
    <phoneticPr fontId="1"/>
  </si>
  <si>
    <t>暖房設備機器または放熱器を設置しない</t>
    <phoneticPr fontId="1"/>
  </si>
  <si>
    <t>入力する</t>
    <phoneticPr fontId="1"/>
  </si>
  <si>
    <t>評価しない</t>
    <phoneticPr fontId="1"/>
  </si>
  <si>
    <t>評価する</t>
    <phoneticPr fontId="1"/>
  </si>
  <si>
    <t>評価しない、または採用しない</t>
    <phoneticPr fontId="1"/>
  </si>
  <si>
    <t>採用する</t>
    <phoneticPr fontId="1"/>
  </si>
  <si>
    <t>熱交換器タイプの入力</t>
  </si>
  <si>
    <t>熱交換器タイプ</t>
  </si>
  <si>
    <t>その他の温水暖房機の名称</t>
  </si>
  <si>
    <t>（その他の温水暖房機の名称）</t>
    <rPh sb="3" eb="4">
      <t>タ</t>
    </rPh>
    <rPh sb="5" eb="7">
      <t>オンスイ</t>
    </rPh>
    <rPh sb="7" eb="9">
      <t>ダンボウ</t>
    </rPh>
    <rPh sb="9" eb="10">
      <t>キ</t>
    </rPh>
    <rPh sb="11" eb="13">
      <t>メイショウ</t>
    </rPh>
    <phoneticPr fontId="1"/>
  </si>
  <si>
    <t>（その他の暖房機器の名称）</t>
    <rPh sb="3" eb="4">
      <t>タ</t>
    </rPh>
    <rPh sb="5" eb="7">
      <t>ダンボウ</t>
    </rPh>
    <rPh sb="7" eb="9">
      <t>キキ</t>
    </rPh>
    <phoneticPr fontId="1"/>
  </si>
  <si>
    <t>11.0</t>
  </si>
  <si>
    <t>11.0</t>
    <phoneticPr fontId="1"/>
  </si>
  <si>
    <t>21.0</t>
    <phoneticPr fontId="1"/>
  </si>
  <si>
    <t>31.0</t>
    <phoneticPr fontId="1"/>
  </si>
  <si>
    <t>41.0</t>
    <phoneticPr fontId="1"/>
  </si>
  <si>
    <t>51.0</t>
    <phoneticPr fontId="1"/>
  </si>
  <si>
    <t>61.0</t>
    <phoneticPr fontId="1"/>
  </si>
  <si>
    <t>71.0</t>
    <phoneticPr fontId="1"/>
  </si>
  <si>
    <t>81.0</t>
    <phoneticPr fontId="1"/>
  </si>
  <si>
    <t>91.0</t>
    <phoneticPr fontId="1"/>
  </si>
  <si>
    <t>設計風量</t>
  </si>
  <si>
    <t>暖房設備機器または放熱器の種類_主たる居室</t>
  </si>
  <si>
    <t>エネルギー消費効率の入力_主たる居室</t>
  </si>
  <si>
    <t>定格能力におけるエネルギー消費効率_主たる居室</t>
  </si>
  <si>
    <t>エネルギー消費効率の区分_主たる居室</t>
  </si>
  <si>
    <t>小能力時高効率型コンプレッサー_主たる居室</t>
  </si>
  <si>
    <t>敷設率の入力_主たる居室</t>
  </si>
  <si>
    <t>敷設率_主たる居室</t>
  </si>
  <si>
    <t>仮想床の床面積を除いた敷設率の入力_主たる居室</t>
  </si>
  <si>
    <t>仮想床の床面積を除いた敷設率_主たる居室</t>
  </si>
  <si>
    <t>低出力モード_主たる居室</t>
  </si>
  <si>
    <t>断熱配管_主たる居室</t>
  </si>
  <si>
    <t>熱出力_主たる居室</t>
  </si>
  <si>
    <t>熱効率_主たる居室</t>
  </si>
  <si>
    <t>点火時消費電力量_主たる居室</t>
  </si>
  <si>
    <t>定常時消費電力_主たる居室</t>
  </si>
  <si>
    <t>その他の暖房設備機器の名称_主たる居室</t>
  </si>
  <si>
    <t>暖房設備機器または放熱器の種類_その他の居室</t>
  </si>
  <si>
    <t>エネルギー消費効率の入力_その他の居室</t>
  </si>
  <si>
    <t>定格能力におけるエネルギー消費効率_その他の居室</t>
  </si>
  <si>
    <t>エネルギー消費効率の区分_その他の居室</t>
  </si>
  <si>
    <t>小能力時高効率型コンプレッサー_その他の居室</t>
  </si>
  <si>
    <t>敷設率の入力_その他の居室</t>
  </si>
  <si>
    <t>敷設率_その他の居室</t>
  </si>
  <si>
    <t>低出力モード_その他の居室</t>
  </si>
  <si>
    <t>断熱配管_その他の居室</t>
  </si>
  <si>
    <t>熱出力_その他の居室</t>
  </si>
  <si>
    <t>熱効率_その他の居室</t>
  </si>
  <si>
    <t>点火時消費電力量_その他の居室</t>
  </si>
  <si>
    <t>定常時消費電力_その他の居室</t>
  </si>
  <si>
    <t>その他の暖房設備機器の名称_その他の居室</t>
  </si>
  <si>
    <t>定格暖房能力試験_能力</t>
  </si>
  <si>
    <t>定格暖房能力試験_消費電力</t>
  </si>
  <si>
    <t xml:space="preserve">定格暖房能力試験_風量 </t>
  </si>
  <si>
    <t>定格暖房能力試験_室内側送風機の消費電力</t>
  </si>
  <si>
    <t>中間暖房能力試験_能力</t>
  </si>
  <si>
    <t>中間暖房能力試験_消費電力</t>
  </si>
  <si>
    <t xml:space="preserve">中間暖房能力試験_風量 </t>
  </si>
  <si>
    <t>中間暖房能力試験_室内側送風機の消費電力</t>
  </si>
  <si>
    <t>上面放熱率_床の断熱_主たる居室</t>
  </si>
  <si>
    <t>上面放熱率_床の断熱_その他の居室</t>
  </si>
  <si>
    <t>手順</t>
    <rPh sb="0" eb="2">
      <t>テジュン</t>
    </rPh>
    <phoneticPr fontId="1"/>
  </si>
  <si>
    <t>シートに対応したVBAを設定する</t>
    <rPh sb="4" eb="6">
      <t>タイオウ</t>
    </rPh>
    <rPh sb="12" eb="14">
      <t>セッテイ</t>
    </rPh>
    <phoneticPr fontId="1"/>
  </si>
  <si>
    <t>セル参照で選択するキーと値の組み合わせを整える</t>
    <rPh sb="2" eb="4">
      <t>サンショウ</t>
    </rPh>
    <rPh sb="5" eb="7">
      <t>センタク</t>
    </rPh>
    <rPh sb="12" eb="13">
      <t>アタイ</t>
    </rPh>
    <rPh sb="14" eb="15">
      <t>ク</t>
    </rPh>
    <rPh sb="16" eb="17">
      <t>ア</t>
    </rPh>
    <rPh sb="20" eb="21">
      <t>トトノ</t>
    </rPh>
    <phoneticPr fontId="1"/>
  </si>
  <si>
    <t>計算シートへキーを転記する</t>
    <rPh sb="0" eb="2">
      <t>ケイサン</t>
    </rPh>
    <rPh sb="9" eb="11">
      <t>テンキ</t>
    </rPh>
    <phoneticPr fontId="1"/>
  </si>
  <si>
    <t>キーのセルに入力規則を設定する（VBA）</t>
    <rPh sb="6" eb="8">
      <t>ニュウリョク</t>
    </rPh>
    <rPh sb="8" eb="10">
      <t>キソク</t>
    </rPh>
    <rPh sb="11" eb="13">
      <t>セッテイ</t>
    </rPh>
    <phoneticPr fontId="1"/>
  </si>
  <si>
    <t>表示／非表示マスターを作る</t>
    <rPh sb="0" eb="2">
      <t>ヒョウジ</t>
    </rPh>
    <rPh sb="3" eb="6">
      <t>ヒヒョウジ</t>
    </rPh>
    <rPh sb="11" eb="12">
      <t>ツク</t>
    </rPh>
    <phoneticPr fontId="1"/>
  </si>
  <si>
    <t>操作</t>
    <rPh sb="0" eb="2">
      <t>ソウサ</t>
    </rPh>
    <phoneticPr fontId="1"/>
  </si>
  <si>
    <t>対象</t>
    <rPh sb="0" eb="2">
      <t>タイショウ</t>
    </rPh>
    <phoneticPr fontId="1"/>
  </si>
  <si>
    <t>シート</t>
    <phoneticPr fontId="1"/>
  </si>
  <si>
    <t>要素</t>
    <rPh sb="0" eb="2">
      <t>ヨウソ</t>
    </rPh>
    <phoneticPr fontId="1"/>
  </si>
  <si>
    <t>ルール</t>
    <phoneticPr fontId="1"/>
  </si>
  <si>
    <t>冷房方式</t>
  </si>
  <si>
    <t>冷房方式</t>
    <phoneticPr fontId="1"/>
  </si>
  <si>
    <t>居室のみを冷房する</t>
  </si>
  <si>
    <t>住戸全体を冷房する</t>
  </si>
  <si>
    <t>冷房設備機器の種類</t>
  </si>
  <si>
    <t>その他の冷房設備機器</t>
  </si>
  <si>
    <t>冷房設備機器を設置しない</t>
  </si>
  <si>
    <t>冷房設備機器の種類_主たる居室</t>
  </si>
  <si>
    <t>冷房設備機器の種類_その他の居室</t>
  </si>
  <si>
    <t>冷房設備機器の種類_その他の居室</t>
    <phoneticPr fontId="1"/>
  </si>
  <si>
    <t>その他の冷房設備機器の名称_その他の居室</t>
  </si>
  <si>
    <t>その他の冷房設備機器の名称_主たる居室</t>
  </si>
  <si>
    <t>換気設備の方式</t>
  </si>
  <si>
    <t>ダクト式第一種換気設備</t>
  </si>
  <si>
    <t>ダクト式第二種換気設備、またはダクト式第三種換気設備</t>
  </si>
  <si>
    <t>壁付け式第一種換気設備</t>
  </si>
  <si>
    <t>壁付け式第二種換気設備、または壁付け式第三種換気設備</t>
  </si>
  <si>
    <t>比消費電力の入力</t>
  </si>
  <si>
    <t>換気回数</t>
  </si>
  <si>
    <t>0.5回/h</t>
  </si>
  <si>
    <t>0.7回/h</t>
  </si>
  <si>
    <t>0.0回/h</t>
  </si>
  <si>
    <t>第一種換気設備の有効換気量率の入力</t>
  </si>
  <si>
    <t>上記以外の場合</t>
  </si>
  <si>
    <t>省エネルギー手法</t>
  </si>
  <si>
    <t>径の太いダクトを使用する</t>
  </si>
  <si>
    <t>径の太いダクトを使用し、かつDCモーターを採用する</t>
  </si>
  <si>
    <t>比消費電力</t>
  </si>
  <si>
    <t>第一種換気設備の有効換気量率</t>
  </si>
  <si>
    <t>熱交換型換気設備</t>
  </si>
  <si>
    <t>評価しない、または設置しない</t>
  </si>
  <si>
    <t>設置する</t>
  </si>
  <si>
    <t>温度交換効率</t>
  </si>
  <si>
    <t>温度交換効率の補正係数の入力</t>
  </si>
  <si>
    <t>給気と排気の比率による温度交換効率の補正係数</t>
  </si>
  <si>
    <t>排気過多時における住宅外皮経由の漏気による温度交換効率の補正係数</t>
  </si>
  <si>
    <t>給湯設備・浴室等の有無</t>
  </si>
  <si>
    <t>給湯設備がある（浴室等がある）</t>
  </si>
  <si>
    <t>給湯設備がある（浴室等がない）</t>
  </si>
  <si>
    <t>給湯設備がない</t>
  </si>
  <si>
    <t>熱源機の種類</t>
  </si>
  <si>
    <t>ガス潜熱回収型給湯機</t>
  </si>
  <si>
    <t>石油従来型給湯機</t>
  </si>
  <si>
    <t>石油潜熱回収型給湯機</t>
  </si>
  <si>
    <t>電気ヒーター給湯機</t>
  </si>
  <si>
    <t>電気ヒートポンプ給湯機（CO2冷媒またはR32冷媒）（太陽熱利用設備を使用しないもの）</t>
  </si>
  <si>
    <t>電気ヒートポンプ・ガス瞬間式併用型給湯機</t>
  </si>
  <si>
    <t>ガス従来型給湯温水暖房機</t>
  </si>
  <si>
    <t>ガス潜熱回収型給湯温水暖房機</t>
  </si>
  <si>
    <t>石油従来型給湯温水暖房機</t>
  </si>
  <si>
    <t>石油潜熱回収型給湯温水暖房機</t>
  </si>
  <si>
    <t>電気ヒーター給湯温水暖房機</t>
  </si>
  <si>
    <t>電気ヒートポンプ・ガス瞬間式併用型給湯温水暖房機（暖房部：電気ヒートポンプ・ガス | 給湯部：ガス | 貯湯タンク：あり）</t>
  </si>
  <si>
    <t>電気ヒートポンプ・ガス瞬間式併用型給湯温水暖房機（暖房部：電気ヒートポンプ・ガス | 給湯部：ガス | 貯湯タンク：なし）</t>
  </si>
  <si>
    <t>電気ヒートポンプ・ガス瞬間式併用型給湯温水暖房機（暖房部：電気ヒートポンプ・ガス | 給湯部：電気ヒートポンプ・ガス）</t>
  </si>
  <si>
    <t>電気ヒートポンプ・ガス瞬間式併用型給湯温水暖房機（暖房部：ガス | 給湯部：電気ヒートポンプ・ガス）</t>
  </si>
  <si>
    <t>その他の給湯設備機器</t>
  </si>
  <si>
    <t>給湯設備機器を設置しない</t>
  </si>
  <si>
    <t>ガス従来型給湯機</t>
  </si>
  <si>
    <t>効率（エネルギー消費効率）を入力</t>
  </si>
  <si>
    <t>効率（モード熱効率）を入力</t>
  </si>
  <si>
    <t>ふろ機能の種類</t>
  </si>
  <si>
    <t>給湯単機能</t>
  </si>
  <si>
    <t>ふろ給湯機（追焚なし）</t>
  </si>
  <si>
    <t>ふろ給湯機（追焚あり）</t>
  </si>
  <si>
    <t>評価しない、または先分岐方式</t>
  </si>
  <si>
    <t>ヘッダー方式</t>
  </si>
  <si>
    <t>配管方式</t>
  </si>
  <si>
    <t>浴室シャワー水栓</t>
  </si>
  <si>
    <t>洗面水栓</t>
  </si>
  <si>
    <t>評価しない、または2バルブ水栓</t>
  </si>
  <si>
    <t>2バルブ水栓以外のその他の水栓</t>
  </si>
  <si>
    <t>浴槽の保温措置</t>
  </si>
  <si>
    <t>評価しない、または高断熱浴槽を使用しない</t>
  </si>
  <si>
    <t>高断熱浴槽を使用する</t>
  </si>
  <si>
    <t>効率（熱効率）を入力</t>
  </si>
  <si>
    <t>電気ヒートポンプ給湯機の指定</t>
  </si>
  <si>
    <t>品番を指定しない（規定値を用いる）</t>
  </si>
  <si>
    <t>品番を指定しない（JIS効率を入力する）</t>
  </si>
  <si>
    <t>品番を指定しない（パラメータを入力する）</t>
  </si>
  <si>
    <t>品番を指定する</t>
  </si>
  <si>
    <t>冷媒の種類</t>
  </si>
  <si>
    <t>フロン系冷媒</t>
  </si>
  <si>
    <t>プロパン系冷媒</t>
  </si>
  <si>
    <t>タンクユニット容量</t>
  </si>
  <si>
    <t>タンク容量（小）</t>
  </si>
  <si>
    <t>タンク容量（大）</t>
  </si>
  <si>
    <t>効率（暖房部：熱効率 | 給湯部：エネルギー消費効率）を入力</t>
  </si>
  <si>
    <t>効率（暖房部：熱効率 | 給湯部：モード熱効率）を入力</t>
  </si>
  <si>
    <t>効率（暖房部：熱効率 | 給湯部：熱効率）を入力</t>
  </si>
  <si>
    <t>効率（給湯部：熱効率）を入力</t>
  </si>
  <si>
    <t>効率（給湯部：モード熱効率）を入力</t>
  </si>
  <si>
    <t>電気ヒートポンプ・ガス瞬間式併用型給湯温水暖房機の区分</t>
  </si>
  <si>
    <t>区分1</t>
  </si>
  <si>
    <t>区分2</t>
  </si>
  <si>
    <t>品番を指定しない（仕様を選択する）</t>
  </si>
  <si>
    <t>（その他の給湯設備機器の名称）</t>
    <phoneticPr fontId="1"/>
  </si>
  <si>
    <t>効率の入力_石油給湯機</t>
    <rPh sb="6" eb="8">
      <t>セキユ</t>
    </rPh>
    <rPh sb="8" eb="11">
      <t>キュウトウキ</t>
    </rPh>
    <phoneticPr fontId="1"/>
  </si>
  <si>
    <t>すべての機器においてLEDを使用している</t>
  </si>
  <si>
    <t>すべての機器において白熱灯以外を使用している</t>
  </si>
  <si>
    <t>いずれかの機器において白熱灯を使用している</t>
  </si>
  <si>
    <t>主たる居室の照明設備</t>
    <phoneticPr fontId="1"/>
  </si>
  <si>
    <t>主たる居室の照明設備</t>
  </si>
  <si>
    <t>照明器具の種類_主たる居室</t>
  </si>
  <si>
    <t>多灯分散照明方式_主たる居室</t>
  </si>
  <si>
    <t>調光が可能な制御_主たる居室</t>
  </si>
  <si>
    <t>その他の居室の照明設備</t>
  </si>
  <si>
    <t>照明器具の種類_その他の居室</t>
  </si>
  <si>
    <t>調光が可能な制御_その他の居室</t>
  </si>
  <si>
    <t>非居室の照明設備</t>
  </si>
  <si>
    <t>照明器具の種類_非居室</t>
  </si>
  <si>
    <t>太陽光発電設備</t>
  </si>
  <si>
    <t>発電の評価</t>
  </si>
  <si>
    <t>方位の異なるパネルの面数</t>
  </si>
  <si>
    <t>パワーコンディショナの定格負荷効率の入力</t>
  </si>
  <si>
    <t>パワーコンディショナの定格負荷効率</t>
  </si>
  <si>
    <t>評価する</t>
  </si>
  <si>
    <t>1面</t>
  </si>
  <si>
    <t>2面</t>
  </si>
  <si>
    <t>3面</t>
  </si>
  <si>
    <t>4面</t>
  </si>
  <si>
    <t>結晶シリコン系太陽電池</t>
  </si>
  <si>
    <t>結晶シリコン系以外の太陽電池</t>
  </si>
  <si>
    <t>架台設置形</t>
  </si>
  <si>
    <t>屋根置き形</t>
  </si>
  <si>
    <t>その他</t>
  </si>
  <si>
    <t>真南から東および西へ15度未満</t>
  </si>
  <si>
    <t>真南から東へ15度以上45度未満</t>
  </si>
  <si>
    <t>真南から東へ45度以上75度未満</t>
  </si>
  <si>
    <t>真南から東へ75度以上105度未満</t>
  </si>
  <si>
    <t>真南から東へ105度以上135度未満</t>
  </si>
  <si>
    <t>真南から東へ135度以上165度未満</t>
  </si>
  <si>
    <t>真南から東および西へ165度以上真北まで</t>
  </si>
  <si>
    <t>真南から西へ135度以上165度未満</t>
  </si>
  <si>
    <t>真南から西へ105度以上135度未満</t>
  </si>
  <si>
    <t>真南から西へ75度以上105度未満</t>
  </si>
  <si>
    <t>真南から西へ45度以上75度未満</t>
  </si>
  <si>
    <t>真南から西へ15度以上45度未満</t>
  </si>
  <si>
    <t>0度（水平）</t>
  </si>
  <si>
    <t>10度</t>
  </si>
  <si>
    <t>20度</t>
  </si>
  <si>
    <t>30度</t>
  </si>
  <si>
    <t>40度</t>
  </si>
  <si>
    <t>50度</t>
  </si>
  <si>
    <t>60度</t>
  </si>
  <si>
    <t>70度</t>
  </si>
  <si>
    <t>80度</t>
  </si>
  <si>
    <t>90度（鉛直）</t>
  </si>
  <si>
    <t>太陽光発電設備</t>
    <phoneticPr fontId="1"/>
  </si>
  <si>
    <t>発電の評価</t>
    <phoneticPr fontId="1"/>
  </si>
  <si>
    <t>方位の異なるパネルの面数</t>
    <phoneticPr fontId="1"/>
  </si>
  <si>
    <t>パワーコンディショナの定格負荷効率の入力</t>
    <phoneticPr fontId="1"/>
  </si>
  <si>
    <t>パワーコンディショナの定格負荷効率</t>
    <phoneticPr fontId="1"/>
  </si>
  <si>
    <t>太陽電池アレイの種類_パネル1</t>
  </si>
  <si>
    <t>太陽電池アレイ設置方式_パネル1</t>
  </si>
  <si>
    <t>パネルの設置方位角_パネル1</t>
  </si>
  <si>
    <t>パネル設置傾斜角_パネル1</t>
  </si>
  <si>
    <t>太陽電池アレイのシステム容量_パネル1</t>
  </si>
  <si>
    <t>太陽電池アレイのシステム容量_パネル2</t>
  </si>
  <si>
    <t>太陽電池アレイの種類_パネル2</t>
  </si>
  <si>
    <t>太陽電池アレイ設置方式_パネル2</t>
  </si>
  <si>
    <t>パネルの設置方位角_パネル2</t>
  </si>
  <si>
    <t>パネル設置傾斜角_パネル2</t>
  </si>
  <si>
    <t>太陽電池アレイのシステム容量_パネル3</t>
  </si>
  <si>
    <t>太陽電池アレイの種類_パネル3</t>
  </si>
  <si>
    <t>太陽電池アレイ設置方式_パネル3</t>
  </si>
  <si>
    <t>パネルの設置方位角_パネル3</t>
  </si>
  <si>
    <t>パネル設置傾斜角_パネル3</t>
  </si>
  <si>
    <t>液体集熱式太陽熱利用設備</t>
  </si>
  <si>
    <t>液体集熱式太陽熱利用設備</t>
    <phoneticPr fontId="1"/>
  </si>
  <si>
    <t>設備の種類</t>
  </si>
  <si>
    <t>浴槽落とし込み方式</t>
  </si>
  <si>
    <t>太陽熱用水栓</t>
  </si>
  <si>
    <t>シャワー・浴槽水栓</t>
  </si>
  <si>
    <t>浴槽水栓</t>
  </si>
  <si>
    <t>接続ユニット方式</t>
  </si>
  <si>
    <t>給水予熱方式</t>
  </si>
  <si>
    <t>三方弁方式</t>
  </si>
  <si>
    <t>開放形太陽熱温水器</t>
    <phoneticPr fontId="1"/>
  </si>
  <si>
    <t>給湯接続方式の種類_開放形太陽熱温水器</t>
  </si>
  <si>
    <t>給湯接続方式の種類_開放形太陽熱温水器</t>
    <phoneticPr fontId="1"/>
  </si>
  <si>
    <t>密閉形太陽熱温水器（直圧式）</t>
    <phoneticPr fontId="1"/>
  </si>
  <si>
    <t>ソーラーシステム</t>
    <phoneticPr fontId="1"/>
  </si>
  <si>
    <t>給湯接続方式の種類_ソーラーシステム</t>
  </si>
  <si>
    <t>給湯接続方式の種類_ソーラーシステム</t>
    <phoneticPr fontId="1"/>
  </si>
  <si>
    <t>ソーラーシステムの指定</t>
  </si>
  <si>
    <t>開放形太陽熱温水器の指定</t>
  </si>
  <si>
    <t>集熱部総面積</t>
  </si>
  <si>
    <t>集熱部の設置方位角</t>
  </si>
  <si>
    <t>集熱部の設置傾斜角</t>
  </si>
  <si>
    <t>貯湯量</t>
  </si>
  <si>
    <t>密閉形太陽熱温水器の指定</t>
  </si>
  <si>
    <t>蓄熱タンク容量</t>
  </si>
  <si>
    <t>品番</t>
  </si>
  <si>
    <t>（品番）</t>
    <rPh sb="1" eb="3">
      <t>ヒンバン</t>
    </rPh>
    <phoneticPr fontId="1"/>
  </si>
  <si>
    <t>基準循環流量</t>
  </si>
  <si>
    <t>熱媒の定圧比熱</t>
  </si>
  <si>
    <t>集熱配管の線熱通過率</t>
  </si>
  <si>
    <t>熱交換器伝熱係数</t>
  </si>
  <si>
    <t>循環ポンプ連続運転時電力</t>
  </si>
  <si>
    <t>循環ポンプ集熱判定時電力</t>
  </si>
  <si>
    <t>有効出湯効率</t>
  </si>
  <si>
    <t>蓄熱槽熱損失係数</t>
  </si>
  <si>
    <t>空気集熱式太陽熱利用設備</t>
  </si>
  <si>
    <t>集熱器群の数</t>
  </si>
  <si>
    <t>集熱部の方位角</t>
  </si>
  <si>
    <t>空気搬送ファンの自立運転用太陽光発電装置</t>
  </si>
  <si>
    <t>空気搬送ファンの種別</t>
  </si>
  <si>
    <t>ACファン</t>
  </si>
  <si>
    <t>DCファン</t>
  </si>
  <si>
    <t>機外静圧をゼロとした時の空気搬送ファンの風量</t>
  </si>
  <si>
    <t>集熱した熱の給湯への利用</t>
  </si>
  <si>
    <t>利用しない</t>
  </si>
  <si>
    <t>集熱後の空気を供給する空間</t>
  </si>
  <si>
    <t>床下空間</t>
  </si>
  <si>
    <t>床下空間以外の室内空間</t>
  </si>
  <si>
    <t>集熱後の空気を供給する床下の面積の割合</t>
  </si>
  <si>
    <t>循環ポンプの自立運転用太陽光発電装置</t>
  </si>
  <si>
    <t>給湯部のタンク容量</t>
  </si>
  <si>
    <t>2.0</t>
    <phoneticPr fontId="1"/>
  </si>
  <si>
    <t>0.1</t>
    <phoneticPr fontId="1"/>
  </si>
  <si>
    <t>0.0107</t>
  </si>
  <si>
    <t>0.0107</t>
    <phoneticPr fontId="1"/>
  </si>
  <si>
    <t>集熱器群の面積_集熱器群その1</t>
  </si>
  <si>
    <t>集熱器群の面積_集熱器群その1</t>
    <phoneticPr fontId="1"/>
  </si>
  <si>
    <t>集熱器群の傾斜角_集熱器群その1</t>
  </si>
  <si>
    <t>集熱器群の傾斜角_集熱器群その1</t>
    <phoneticPr fontId="1"/>
  </si>
  <si>
    <t>集熱器群の仕様の入力_集熱器群その1</t>
  </si>
  <si>
    <t>集熱器群の仕様の入力_集熱器群その1</t>
    <phoneticPr fontId="1"/>
  </si>
  <si>
    <t>集熱器の集熱効率特性線図一次近似式の切片_集熱器群その1</t>
  </si>
  <si>
    <t>集熱器の集熱効率特性線図一次近似式の切片_集熱器群その1</t>
    <phoneticPr fontId="1"/>
  </si>
  <si>
    <t>集熱器の集熱効率特性線図一次近似式の傾き_集熱器群その1</t>
    <phoneticPr fontId="1"/>
  </si>
  <si>
    <t>集熱器の集熱性能試験時における単位面積当たりの空気の質量流量_集熱器群その1</t>
  </si>
  <si>
    <t>集熱器の集熱性能試験時における単位面積当たりの空気の質量流量_集熱器群その1</t>
    <phoneticPr fontId="1"/>
  </si>
  <si>
    <t>集熱器群の面積_集熱器群その2</t>
  </si>
  <si>
    <t>集熱器群の面積_集熱器群その2</t>
    <phoneticPr fontId="1"/>
  </si>
  <si>
    <t>集熱器群の傾斜角_集熱器群その2</t>
  </si>
  <si>
    <t>集熱器群の傾斜角_集熱器群その2</t>
    <phoneticPr fontId="1"/>
  </si>
  <si>
    <t>集熱器群の仕様の入力_集熱器群その2</t>
  </si>
  <si>
    <t>集熱器群の仕様の入力_集熱器群その2</t>
    <phoneticPr fontId="1"/>
  </si>
  <si>
    <t>集熱器の集熱効率特性線図一次近似式の切片_集熱器群その2</t>
  </si>
  <si>
    <t>集熱器の集熱効率特性線図一次近似式の切片_集熱器群その2</t>
    <phoneticPr fontId="1"/>
  </si>
  <si>
    <t>集熱器の集熱効率特性線図一次近似式の傾き_集熱器群その2</t>
  </si>
  <si>
    <t>集熱器の集熱効率特性線図一次近似式の傾き_集熱器群その2</t>
    <phoneticPr fontId="1"/>
  </si>
  <si>
    <t>集熱器の集熱性能試験時における単位面積当たりの空気の質量流量_集熱器群その2</t>
  </si>
  <si>
    <t>集熱器の集熱性能試験時における単位面積当たりの空気の質量流量_集熱器群その2</t>
    <phoneticPr fontId="1"/>
  </si>
  <si>
    <t>集熱器群の面積_集熱器群その3</t>
  </si>
  <si>
    <t>集熱器群の面積_集熱器群その3</t>
    <phoneticPr fontId="1"/>
  </si>
  <si>
    <t>集熱器群の傾斜角_集熱器群その3</t>
  </si>
  <si>
    <t>集熱器群の傾斜角_集熱器群その3</t>
    <phoneticPr fontId="1"/>
  </si>
  <si>
    <t>集熱器群の仕様の入力_集熱器群その3</t>
  </si>
  <si>
    <t>集熱器群の仕様の入力_集熱器群その3</t>
    <phoneticPr fontId="1"/>
  </si>
  <si>
    <t>集熱器の集熱効率特性線図一次近似式の切片_集熱器群その3</t>
  </si>
  <si>
    <t>集熱器の集熱効率特性線図一次近似式の切片_集熱器群その3</t>
    <phoneticPr fontId="1"/>
  </si>
  <si>
    <t>集熱器の集熱効率特性線図一次近似式の傾き_集熱器群その3</t>
  </si>
  <si>
    <t>集熱器の集熱効率特性線図一次近似式の傾き_集熱器群その3</t>
    <phoneticPr fontId="1"/>
  </si>
  <si>
    <t>集熱器の集熱性能試験時における単位面積当たりの空気の質量流量_集熱器群その3</t>
  </si>
  <si>
    <t>集熱器の集熱性能試験時における単位面積当たりの空気の質量流量_集熱器群その3</t>
    <phoneticPr fontId="1"/>
  </si>
  <si>
    <t>給湯接続方式の種類_密閉形太陽熱温水器_直圧式</t>
    <phoneticPr fontId="1"/>
  </si>
  <si>
    <t>集熱部効率係数_b0</t>
    <phoneticPr fontId="1"/>
  </si>
  <si>
    <t>集熱部損失係数_b1</t>
    <phoneticPr fontId="1"/>
  </si>
  <si>
    <t>住宅タイプの名称</t>
    <phoneticPr fontId="1"/>
  </si>
  <si>
    <t>住宅の建て方</t>
  </si>
  <si>
    <t>コージェネレーション設備</t>
  </si>
  <si>
    <t>コージェネレーション機器の指定</t>
  </si>
  <si>
    <t>コージェネレーションの種類</t>
  </si>
  <si>
    <t>PEFC（固体高分子形燃料電池）</t>
  </si>
  <si>
    <t>SOFC（固体酸化物形燃料電池）</t>
  </si>
  <si>
    <t>逆潮流の評価</t>
  </si>
  <si>
    <t>バックアップボイラーの種類</t>
  </si>
  <si>
    <t>ガス従来型</t>
  </si>
  <si>
    <t>ガス潜熱回収型</t>
  </si>
  <si>
    <t>温水暖房への排熱利用</t>
  </si>
  <si>
    <t>なし</t>
  </si>
  <si>
    <t>あり</t>
  </si>
  <si>
    <t>PUの給湯排熱利用率</t>
  </si>
  <si>
    <t>TUの補機消費電力</t>
  </si>
  <si>
    <t>定格発電出力</t>
  </si>
  <si>
    <t>逆潮流</t>
  </si>
  <si>
    <t>コージュネ03</t>
  </si>
  <si>
    <t>PEFC・SOFCに2015年度以前の評価方法、またはGEC</t>
  </si>
  <si>
    <t>コージェネレーションの区分</t>
  </si>
  <si>
    <t>PEFC1</t>
  </si>
  <si>
    <t>PEFC2</t>
  </si>
  <si>
    <t>PEFC3</t>
  </si>
  <si>
    <t>PEFC4</t>
  </si>
  <si>
    <t>PEFC5</t>
  </si>
  <si>
    <t>PEFC6</t>
  </si>
  <si>
    <t>SOFC1</t>
  </si>
  <si>
    <t>SOFC2</t>
  </si>
  <si>
    <t>GEC1</t>
  </si>
  <si>
    <t>GEC2</t>
  </si>
  <si>
    <t>基本01</t>
    <rPh sb="0" eb="2">
      <t>キホン</t>
    </rPh>
    <phoneticPr fontId="1"/>
  </si>
  <si>
    <t>タブ</t>
    <phoneticPr fontId="1"/>
  </si>
  <si>
    <t>その他の居室の有無</t>
  </si>
  <si>
    <t>非居室の有無</t>
  </si>
  <si>
    <t>082</t>
  </si>
  <si>
    <t>090</t>
  </si>
  <si>
    <t>EntireDwellingUnit</t>
  </si>
  <si>
    <t>RenovationPart</t>
  </si>
  <si>
    <t>A4</t>
  </si>
  <si>
    <t>PersonInCharge</t>
  </si>
  <si>
    <t>変更のIDからマスターシートのIDを取得</t>
    <rPh sb="0" eb="2">
      <t>ヘンコウ</t>
    </rPh>
    <rPh sb="18" eb="20">
      <t>シュトク</t>
    </rPh>
    <phoneticPr fontId="1"/>
  </si>
  <si>
    <t>変更箇所のデータを取得</t>
    <rPh sb="0" eb="4">
      <t>ヘンコウカショ</t>
    </rPh>
    <rPh sb="9" eb="11">
      <t>シュトク</t>
    </rPh>
    <phoneticPr fontId="1"/>
  </si>
  <si>
    <t>変更する対象のセルを取得</t>
    <rPh sb="0" eb="2">
      <t>ヘンコウ</t>
    </rPh>
    <rPh sb="4" eb="6">
      <t>タイショウ</t>
    </rPh>
    <rPh sb="10" eb="12">
      <t>シュトク</t>
    </rPh>
    <phoneticPr fontId="1"/>
  </si>
  <si>
    <t>変更する</t>
    <rPh sb="0" eb="2">
      <t>ヘンコウ</t>
    </rPh>
    <phoneticPr fontId="1"/>
  </si>
  <si>
    <t>変更された値を取得</t>
    <rPh sb="0" eb="2">
      <t>ヘンコウ</t>
    </rPh>
    <rPh sb="5" eb="6">
      <t>アタイ</t>
    </rPh>
    <rPh sb="7" eb="9">
      <t>シュトク</t>
    </rPh>
    <phoneticPr fontId="1"/>
  </si>
  <si>
    <t>計算シートのセル変更を検知</t>
    <rPh sb="0" eb="2">
      <t>ケイサン</t>
    </rPh>
    <rPh sb="8" eb="10">
      <t>ヘンコウ</t>
    </rPh>
    <rPh sb="11" eb="13">
      <t>ケンチ</t>
    </rPh>
    <phoneticPr fontId="1"/>
  </si>
  <si>
    <t>項目</t>
    <rPh sb="0" eb="2">
      <t>コウモク</t>
    </rPh>
    <phoneticPr fontId="1"/>
  </si>
  <si>
    <t>064</t>
  </si>
  <si>
    <t>067</t>
  </si>
  <si>
    <t>079</t>
  </si>
  <si>
    <t>081</t>
  </si>
  <si>
    <t>085</t>
  </si>
  <si>
    <t>087</t>
  </si>
  <si>
    <t>089</t>
  </si>
  <si>
    <t>092</t>
  </si>
  <si>
    <t>床面積-主たる居室</t>
  </si>
  <si>
    <t>床面積-その他の居室</t>
  </si>
  <si>
    <t>床面積-合計</t>
  </si>
  <si>
    <t>No.</t>
  </si>
  <si>
    <t>選択値</t>
    <rPh sb="0" eb="2">
      <t>センタク</t>
    </rPh>
    <rPh sb="2" eb="3">
      <t>アタイ</t>
    </rPh>
    <phoneticPr fontId="1"/>
  </si>
  <si>
    <t>項番</t>
    <rPh sb="0" eb="2">
      <t>コウバン</t>
    </rPh>
    <phoneticPr fontId="1"/>
  </si>
  <si>
    <t>基本02</t>
    <rPh sb="0" eb="2">
      <t>キホン</t>
    </rPh>
    <phoneticPr fontId="1"/>
  </si>
  <si>
    <t>基本03</t>
    <rPh sb="0" eb="2">
      <t>キホン</t>
    </rPh>
    <phoneticPr fontId="1"/>
  </si>
  <si>
    <t>基本04</t>
    <rPh sb="0" eb="2">
      <t>キホン</t>
    </rPh>
    <phoneticPr fontId="1"/>
  </si>
  <si>
    <t>基本05</t>
    <rPh sb="0" eb="2">
      <t>キホン</t>
    </rPh>
    <phoneticPr fontId="1"/>
  </si>
  <si>
    <t>基本06</t>
    <rPh sb="0" eb="2">
      <t>キホン</t>
    </rPh>
    <phoneticPr fontId="1"/>
  </si>
  <si>
    <t>基本07</t>
    <rPh sb="0" eb="2">
      <t>キホン</t>
    </rPh>
    <phoneticPr fontId="1"/>
  </si>
  <si>
    <t>基本08</t>
    <rPh sb="0" eb="2">
      <t>キホン</t>
    </rPh>
    <phoneticPr fontId="1"/>
  </si>
  <si>
    <t>基本09</t>
    <rPh sb="0" eb="2">
      <t>キホン</t>
    </rPh>
    <phoneticPr fontId="1"/>
  </si>
  <si>
    <t>基本10</t>
    <rPh sb="0" eb="2">
      <t>キホン</t>
    </rPh>
    <phoneticPr fontId="1"/>
  </si>
  <si>
    <t>基本11</t>
    <rPh sb="0" eb="2">
      <t>キホン</t>
    </rPh>
    <phoneticPr fontId="1"/>
  </si>
  <si>
    <t>基本12</t>
    <rPh sb="0" eb="2">
      <t>キホン</t>
    </rPh>
    <phoneticPr fontId="1"/>
  </si>
  <si>
    <t>基本13</t>
    <rPh sb="0" eb="2">
      <t>キホン</t>
    </rPh>
    <phoneticPr fontId="1"/>
  </si>
  <si>
    <t>通風の利用-主たる居室</t>
  </si>
  <si>
    <t>通風の利用-その他の居室</t>
  </si>
  <si>
    <t>外気が経由する床下の面積の割合</t>
  </si>
  <si>
    <t>外皮01</t>
  </si>
  <si>
    <t>基本05, 基本08, 基本09, 基本10</t>
    <phoneticPr fontId="1"/>
  </si>
  <si>
    <t>基本06, 基本07</t>
    <phoneticPr fontId="1"/>
  </si>
  <si>
    <t>基本09</t>
    <phoneticPr fontId="1"/>
  </si>
  <si>
    <t>外皮02, 外皮03, 外皮04, 外皮05</t>
    <phoneticPr fontId="1"/>
  </si>
  <si>
    <t>外皮01_外皮性能の評価方法</t>
    <rPh sb="0" eb="2">
      <t>ガイヒ</t>
    </rPh>
    <phoneticPr fontId="6"/>
  </si>
  <si>
    <t>外皮02_外皮面積の合計</t>
  </si>
  <si>
    <t>外皮02_外皮平均熱貫流率（UA）</t>
  </si>
  <si>
    <t>外皮02_冷房期の平均日射熱取得率（ηAC）</t>
  </si>
  <si>
    <t>外皮02_暖房期の平均日射熱取得率（ηAH）</t>
  </si>
  <si>
    <t>外皮03_通風の利用-主たる居室 </t>
  </si>
  <si>
    <t>外皮03_通風の利用-その他の居室</t>
  </si>
  <si>
    <t>外皮04_蓄熱の利用</t>
  </si>
  <si>
    <t>追加処理</t>
    <rPh sb="0" eb="4">
      <t>ツイカショリ</t>
    </rPh>
    <phoneticPr fontId="1"/>
  </si>
  <si>
    <t>冷房期の平均日射熱取得率（ηAC）</t>
    <phoneticPr fontId="1"/>
  </si>
  <si>
    <t>暖房期の平均日射熱取得率（ηAH）</t>
    <phoneticPr fontId="1"/>
  </si>
  <si>
    <t>以下の場合、選択肢を変更する</t>
    <rPh sb="0" eb="2">
      <t>イカ</t>
    </rPh>
    <rPh sb="3" eb="5">
      <t>バアイ</t>
    </rPh>
    <rPh sb="6" eb="9">
      <t>センタクシ</t>
    </rPh>
    <rPh sb="10" eb="12">
      <t>ヘンコウ</t>
    </rPh>
    <phoneticPr fontId="1"/>
  </si>
  <si>
    <t>暖房01</t>
  </si>
  <si>
    <t>暖房02</t>
  </si>
  <si>
    <t>暖房03</t>
  </si>
  <si>
    <t>暖房04</t>
  </si>
  <si>
    <t>暖房05</t>
  </si>
  <si>
    <t>正規表現</t>
    <rPh sb="0" eb="4">
      <t>セイキヒョウゲン</t>
    </rPh>
    <phoneticPr fontId="1"/>
  </si>
  <si>
    <t>空行を選択⇒ ^\s*\r?\n</t>
    <rPh sb="0" eb="2">
      <t>カラギョウ</t>
    </rPh>
    <rPh sb="3" eb="5">
      <t>センタク</t>
    </rPh>
    <phoneticPr fontId="1"/>
  </si>
  <si>
    <t>暖房42, 暖房43, 暖房44, 暖房45, 暖房46</t>
    <phoneticPr fontId="1"/>
  </si>
  <si>
    <t>暖房02, 暖房03, 暖房19, 暖房20, 暖房42, 暖房43, 暖房44, 暖房45, 暖房46</t>
    <phoneticPr fontId="1"/>
  </si>
  <si>
    <t>暖房03, 暖房07, 暖房11, 暖房12, 暖房13, 暖房14, 暖房15, 暖房16, 暖房17, 暖房18</t>
  </si>
  <si>
    <t>暖房07, 暖房11, 暖房12, 暖房13, 暖房14, 暖房15, 暖房16, 暖房17, 暖房18</t>
  </si>
  <si>
    <t>暖房03, 暖房13, 暖房14, 暖房15, 暖房16, 暖房17, 暖房18</t>
  </si>
  <si>
    <t>暖房03, 暖房07, 暖房11, 暖房12, 暖房14, 暖房15, 暖房16, 暖房17, 暖房18</t>
  </si>
  <si>
    <t>暖房03, 暖房12, 暖房13, 暖房14, 暖房15, 暖房16, 暖房17, 暖房18</t>
  </si>
  <si>
    <t>暖房03, 暖房07, 暖房11, 暖房12, 暖房13, 暖房18</t>
  </si>
  <si>
    <t>暖房03, 暖房07, 暖房11, 暖房12, 暖房13, 暖房14, 暖房15, 暖房16, 暖房17</t>
  </si>
  <si>
    <t>暖房05, 暖房06</t>
  </si>
  <si>
    <t>暖房05, 暖房06</t>
    <phoneticPr fontId="1"/>
  </si>
  <si>
    <t>暖房08, 暖房09, 暖房11, 暖房12</t>
  </si>
  <si>
    <t>暖房08, 暖房09, 暖房11, 暖房12</t>
    <phoneticPr fontId="1"/>
  </si>
  <si>
    <t>暖房08, 暖房09</t>
  </si>
  <si>
    <t>暖房10</t>
    <phoneticPr fontId="1"/>
  </si>
  <si>
    <t>暖房02, 暖房03, 暖房19, 暖房20</t>
    <phoneticPr fontId="1"/>
  </si>
  <si>
    <t>暖房0401</t>
    <rPh sb="0" eb="2">
      <t>ダンボウ</t>
    </rPh>
    <phoneticPr fontId="1"/>
  </si>
  <si>
    <t>102</t>
  </si>
  <si>
    <t>112</t>
  </si>
  <si>
    <t>114</t>
  </si>
  <si>
    <t>116</t>
  </si>
  <si>
    <t>117</t>
  </si>
  <si>
    <t>118</t>
  </si>
  <si>
    <t>119</t>
  </si>
  <si>
    <t>120</t>
  </si>
  <si>
    <t>121</t>
  </si>
  <si>
    <t>133</t>
  </si>
  <si>
    <t>135</t>
  </si>
  <si>
    <t>136</t>
  </si>
  <si>
    <t>139</t>
  </si>
  <si>
    <t>141</t>
  </si>
  <si>
    <t>143</t>
  </si>
  <si>
    <t>144</t>
  </si>
  <si>
    <t>154</t>
  </si>
  <si>
    <t>156</t>
  </si>
  <si>
    <t>158</t>
  </si>
  <si>
    <t>159</t>
  </si>
  <si>
    <t>160</t>
  </si>
  <si>
    <t>161</t>
  </si>
  <si>
    <t>162</t>
  </si>
  <si>
    <t>163</t>
  </si>
  <si>
    <t>175</t>
  </si>
  <si>
    <t>177</t>
  </si>
  <si>
    <t>187</t>
  </si>
  <si>
    <t>189</t>
  </si>
  <si>
    <t>194</t>
  </si>
  <si>
    <t>195</t>
  </si>
  <si>
    <t>197</t>
  </si>
  <si>
    <t>199</t>
  </si>
  <si>
    <t>200</t>
  </si>
  <si>
    <t>202</t>
  </si>
  <si>
    <t>204</t>
  </si>
  <si>
    <t>206</t>
  </si>
  <si>
    <t>209</t>
  </si>
  <si>
    <t>210</t>
  </si>
  <si>
    <t>211</t>
  </si>
  <si>
    <t>212</t>
  </si>
  <si>
    <t>213</t>
  </si>
  <si>
    <t>214</t>
  </si>
  <si>
    <t>215</t>
  </si>
  <si>
    <t>216</t>
  </si>
  <si>
    <t>217</t>
  </si>
  <si>
    <t>219</t>
  </si>
  <si>
    <t>^\s*\r?\n</t>
    <phoneticPr fontId="1"/>
  </si>
  <si>
    <t>検索</t>
    <rPh sb="0" eb="2">
      <t>ケンサク</t>
    </rPh>
    <phoneticPr fontId="1"/>
  </si>
  <si>
    <t>リセットするセル名</t>
    <rPh sb="8" eb="9">
      <t>メイ</t>
    </rPh>
    <phoneticPr fontId="1"/>
  </si>
  <si>
    <t>色設定するセル名（入力不要セル）</t>
    <rPh sb="0" eb="1">
      <t>イロ</t>
    </rPh>
    <rPh sb="1" eb="3">
      <t>セッテイ</t>
    </rPh>
    <rPh sb="7" eb="8">
      <t>メイ</t>
    </rPh>
    <rPh sb="9" eb="11">
      <t>ニュウリョク</t>
    </rPh>
    <rPh sb="11" eb="13">
      <t>フヨウ</t>
    </rPh>
    <phoneticPr fontId="1"/>
  </si>
  <si>
    <t>工程</t>
    <rPh sb="0" eb="2">
      <t>コウテイ</t>
    </rPh>
    <phoneticPr fontId="1"/>
  </si>
  <si>
    <t>RulesとSettingsを1つにした</t>
    <phoneticPr fontId="1"/>
  </si>
  <si>
    <t>外皮平均熱貫流率</t>
  </si>
  <si>
    <t>冷房期の平均日射熱取得率</t>
  </si>
  <si>
    <t>暖房期の平均日射熱取得率</t>
  </si>
  <si>
    <t>通風の利用_主たる居室</t>
  </si>
  <si>
    <t>通風の利用_その他の居室</t>
  </si>
  <si>
    <t>床下空間の断熱_太陽熱</t>
    <rPh sb="8" eb="11">
      <t>タイヨウネツ</t>
    </rPh>
    <phoneticPr fontId="1"/>
  </si>
  <si>
    <t>基本</t>
    <rPh sb="0" eb="2">
      <t>キホン</t>
    </rPh>
    <phoneticPr fontId="1"/>
  </si>
  <si>
    <t>コージュネ</t>
  </si>
  <si>
    <t>220</t>
  </si>
  <si>
    <t>223</t>
  </si>
  <si>
    <t>227</t>
  </si>
  <si>
    <t>229</t>
  </si>
  <si>
    <t>230</t>
  </si>
  <si>
    <t>234</t>
  </si>
  <si>
    <t>236</t>
  </si>
  <si>
    <t>237</t>
  </si>
  <si>
    <t>238</t>
  </si>
  <si>
    <t>240</t>
  </si>
  <si>
    <t>242</t>
  </si>
  <si>
    <t>244</t>
  </si>
  <si>
    <t>247</t>
  </si>
  <si>
    <t>249</t>
  </si>
  <si>
    <t>250</t>
  </si>
  <si>
    <t>255</t>
  </si>
  <si>
    <t>258</t>
  </si>
  <si>
    <t>260</t>
  </si>
  <si>
    <t>261</t>
  </si>
  <si>
    <t>264</t>
  </si>
  <si>
    <t>266</t>
  </si>
  <si>
    <t>267</t>
  </si>
  <si>
    <t>269</t>
  </si>
  <si>
    <t>270</t>
  </si>
  <si>
    <t>272</t>
  </si>
  <si>
    <t>273</t>
  </si>
  <si>
    <t>床面積_主たる居室</t>
    <phoneticPr fontId="1"/>
  </si>
  <si>
    <t>床面積_その他の居室</t>
    <phoneticPr fontId="1"/>
  </si>
  <si>
    <t>床面積_合計</t>
    <phoneticPr fontId="1"/>
  </si>
  <si>
    <t>外皮性能の評価方法</t>
    <phoneticPr fontId="1"/>
  </si>
  <si>
    <t>外皮06</t>
  </si>
  <si>
    <t>外皮07</t>
  </si>
  <si>
    <t>外皮08</t>
  </si>
  <si>
    <t>外皮09</t>
  </si>
  <si>
    <t>外皮10</t>
  </si>
  <si>
    <t>外皮11</t>
  </si>
  <si>
    <t>暖房06</t>
  </si>
  <si>
    <t>暖房07</t>
  </si>
  <si>
    <t>暖房08</t>
  </si>
  <si>
    <t>暖房09</t>
  </si>
  <si>
    <t>暖房10</t>
  </si>
  <si>
    <t>暖房11</t>
  </si>
  <si>
    <t>暖房12</t>
  </si>
  <si>
    <t>暖房13</t>
  </si>
  <si>
    <t>暖房14</t>
  </si>
  <si>
    <t>暖房15</t>
  </si>
  <si>
    <t>暖房16</t>
  </si>
  <si>
    <t>暖房17</t>
  </si>
  <si>
    <t>暖房18</t>
  </si>
  <si>
    <t>暖房19</t>
  </si>
  <si>
    <t>暖房20</t>
  </si>
  <si>
    <t>暖房21</t>
  </si>
  <si>
    <t>暖房22</t>
  </si>
  <si>
    <t>暖房23</t>
  </si>
  <si>
    <t>暖房24</t>
  </si>
  <si>
    <t>暖房25</t>
  </si>
  <si>
    <t>暖房26</t>
  </si>
  <si>
    <t>暖房27</t>
  </si>
  <si>
    <t>暖房28</t>
  </si>
  <si>
    <t>暖房29</t>
  </si>
  <si>
    <t>暖房30</t>
  </si>
  <si>
    <t>暖房31</t>
  </si>
  <si>
    <t>暖房32</t>
  </si>
  <si>
    <t>暖房33</t>
  </si>
  <si>
    <t>暖房34</t>
  </si>
  <si>
    <t>暖房35</t>
  </si>
  <si>
    <t>暖房36</t>
  </si>
  <si>
    <t>暖房37</t>
  </si>
  <si>
    <t>暖房38</t>
  </si>
  <si>
    <t>暖房39</t>
  </si>
  <si>
    <t>暖房40</t>
  </si>
  <si>
    <t>暖房41</t>
  </si>
  <si>
    <t>暖房42</t>
  </si>
  <si>
    <t>暖房43</t>
  </si>
  <si>
    <t>暖房44</t>
  </si>
  <si>
    <t>暖房45</t>
  </si>
  <si>
    <t>暖房46</t>
  </si>
  <si>
    <t>暖房47</t>
  </si>
  <si>
    <t>暖房48</t>
  </si>
  <si>
    <t>暖房49</t>
  </si>
  <si>
    <t>暖房50</t>
  </si>
  <si>
    <t>暖房51</t>
  </si>
  <si>
    <t>暖房52</t>
  </si>
  <si>
    <t>暖房53</t>
  </si>
  <si>
    <t>暖房54</t>
  </si>
  <si>
    <t>暖房55</t>
  </si>
  <si>
    <t>暖房56</t>
  </si>
  <si>
    <t>冷房01</t>
    <rPh sb="0" eb="2">
      <t>レイボウ</t>
    </rPh>
    <phoneticPr fontId="1"/>
  </si>
  <si>
    <t>冷房02</t>
    <rPh sb="0" eb="2">
      <t>レイボウ</t>
    </rPh>
    <phoneticPr fontId="1"/>
  </si>
  <si>
    <t>冷房03</t>
    <rPh sb="0" eb="2">
      <t>レイボウ</t>
    </rPh>
    <phoneticPr fontId="1"/>
  </si>
  <si>
    <t>冷房04</t>
    <rPh sb="0" eb="2">
      <t>レイボウ</t>
    </rPh>
    <phoneticPr fontId="1"/>
  </si>
  <si>
    <t>冷房05</t>
    <rPh sb="0" eb="2">
      <t>レイボウ</t>
    </rPh>
    <phoneticPr fontId="1"/>
  </si>
  <si>
    <t>冷房06</t>
    <rPh sb="0" eb="2">
      <t>レイボウ</t>
    </rPh>
    <phoneticPr fontId="1"/>
  </si>
  <si>
    <t>冷房07</t>
    <rPh sb="0" eb="2">
      <t>レイボウ</t>
    </rPh>
    <phoneticPr fontId="1"/>
  </si>
  <si>
    <t>冷房08</t>
    <rPh sb="0" eb="2">
      <t>レイボウ</t>
    </rPh>
    <phoneticPr fontId="1"/>
  </si>
  <si>
    <t>冷房09</t>
    <rPh sb="0" eb="2">
      <t>レイボウ</t>
    </rPh>
    <phoneticPr fontId="1"/>
  </si>
  <si>
    <t>冷房10</t>
    <rPh sb="0" eb="2">
      <t>レイボウ</t>
    </rPh>
    <phoneticPr fontId="1"/>
  </si>
  <si>
    <t>冷房11</t>
    <rPh sb="0" eb="2">
      <t>レイボウ</t>
    </rPh>
    <phoneticPr fontId="1"/>
  </si>
  <si>
    <t>冷房12</t>
    <rPh sb="0" eb="2">
      <t>レイボウ</t>
    </rPh>
    <phoneticPr fontId="1"/>
  </si>
  <si>
    <t>冷房13</t>
    <rPh sb="0" eb="2">
      <t>レイボウ</t>
    </rPh>
    <phoneticPr fontId="1"/>
  </si>
  <si>
    <t>冷房14</t>
    <rPh sb="0" eb="2">
      <t>レイボウ</t>
    </rPh>
    <phoneticPr fontId="1"/>
  </si>
  <si>
    <t>換気設備の方式</t>
    <phoneticPr fontId="1"/>
  </si>
  <si>
    <t>換気01</t>
    <rPh sb="0" eb="2">
      <t>カンキ</t>
    </rPh>
    <phoneticPr fontId="1"/>
  </si>
  <si>
    <t>換気02</t>
    <rPh sb="0" eb="2">
      <t>カンキ</t>
    </rPh>
    <phoneticPr fontId="1"/>
  </si>
  <si>
    <t>換気03</t>
    <rPh sb="0" eb="2">
      <t>カンキ</t>
    </rPh>
    <phoneticPr fontId="1"/>
  </si>
  <si>
    <t>換気04</t>
    <rPh sb="0" eb="2">
      <t>カンキ</t>
    </rPh>
    <phoneticPr fontId="1"/>
  </si>
  <si>
    <t>換気05</t>
    <rPh sb="0" eb="2">
      <t>カンキ</t>
    </rPh>
    <phoneticPr fontId="1"/>
  </si>
  <si>
    <t>換気06</t>
    <rPh sb="0" eb="2">
      <t>カンキ</t>
    </rPh>
    <phoneticPr fontId="1"/>
  </si>
  <si>
    <t>換気07</t>
    <rPh sb="0" eb="2">
      <t>カンキ</t>
    </rPh>
    <phoneticPr fontId="1"/>
  </si>
  <si>
    <t>熱交換型換気設備</t>
    <phoneticPr fontId="1"/>
  </si>
  <si>
    <t>熱交換01</t>
    <phoneticPr fontId="1"/>
  </si>
  <si>
    <t>熱交換02</t>
  </si>
  <si>
    <t>熱交換03</t>
  </si>
  <si>
    <t>熱交換04</t>
  </si>
  <si>
    <t>熱交換05</t>
  </si>
  <si>
    <t>給湯設備・浴室等の有無</t>
    <phoneticPr fontId="1"/>
  </si>
  <si>
    <t>効率の入力_ガス給湯機</t>
  </si>
  <si>
    <t>電気ヒートポンプ・ガス瞬間式併用型給湯機の指定</t>
  </si>
  <si>
    <t>その他の給湯設備機器の名称</t>
  </si>
  <si>
    <t>台所水栓</t>
  </si>
  <si>
    <t>効率の入力_ガス給湯機</t>
    <phoneticPr fontId="1"/>
  </si>
  <si>
    <t>効率の入力_ガス給湯温水暖房機</t>
  </si>
  <si>
    <t>効率の入力_ガス給湯温水暖房機</t>
    <phoneticPr fontId="1"/>
  </si>
  <si>
    <t>効率の入力_石油従来型給湯温水暖房機</t>
  </si>
  <si>
    <t>効率の入力_石油従来型給湯温水暖房機</t>
    <phoneticPr fontId="1"/>
  </si>
  <si>
    <t>効率の入力_石油潜熱回収型給湯温水暖房機</t>
  </si>
  <si>
    <t>効率の入力_石油潜熱回収型給湯温水暖房機</t>
    <phoneticPr fontId="1"/>
  </si>
  <si>
    <t>給湯01</t>
    <rPh sb="0" eb="2">
      <t>キュウトウ</t>
    </rPh>
    <phoneticPr fontId="1"/>
  </si>
  <si>
    <t>給湯02</t>
    <rPh sb="0" eb="2">
      <t>キュウトウ</t>
    </rPh>
    <phoneticPr fontId="1"/>
  </si>
  <si>
    <t>給湯03</t>
    <rPh sb="0" eb="2">
      <t>キュウトウ</t>
    </rPh>
    <phoneticPr fontId="1"/>
  </si>
  <si>
    <t>給湯04</t>
    <rPh sb="0" eb="2">
      <t>キュウトウ</t>
    </rPh>
    <phoneticPr fontId="1"/>
  </si>
  <si>
    <t>給湯05</t>
    <rPh sb="0" eb="2">
      <t>キュウトウ</t>
    </rPh>
    <phoneticPr fontId="1"/>
  </si>
  <si>
    <t>給湯06</t>
    <rPh sb="0" eb="2">
      <t>キュウトウ</t>
    </rPh>
    <phoneticPr fontId="1"/>
  </si>
  <si>
    <t>給湯07</t>
    <rPh sb="0" eb="2">
      <t>キュウトウ</t>
    </rPh>
    <phoneticPr fontId="1"/>
  </si>
  <si>
    <t>給湯08</t>
    <rPh sb="0" eb="2">
      <t>キュウトウ</t>
    </rPh>
    <phoneticPr fontId="1"/>
  </si>
  <si>
    <t>給湯09</t>
    <rPh sb="0" eb="2">
      <t>キュウトウ</t>
    </rPh>
    <phoneticPr fontId="1"/>
  </si>
  <si>
    <t>給湯10</t>
    <rPh sb="0" eb="2">
      <t>キュウトウ</t>
    </rPh>
    <phoneticPr fontId="1"/>
  </si>
  <si>
    <t>給湯11</t>
    <rPh sb="0" eb="2">
      <t>キュウトウ</t>
    </rPh>
    <phoneticPr fontId="1"/>
  </si>
  <si>
    <t>給湯12</t>
    <rPh sb="0" eb="2">
      <t>キュウトウ</t>
    </rPh>
    <phoneticPr fontId="1"/>
  </si>
  <si>
    <t>給湯13</t>
    <rPh sb="0" eb="2">
      <t>キュウトウ</t>
    </rPh>
    <phoneticPr fontId="1"/>
  </si>
  <si>
    <t>給湯14</t>
    <rPh sb="0" eb="2">
      <t>キュウトウ</t>
    </rPh>
    <phoneticPr fontId="1"/>
  </si>
  <si>
    <t>給湯15</t>
    <rPh sb="0" eb="2">
      <t>キュウトウ</t>
    </rPh>
    <phoneticPr fontId="1"/>
  </si>
  <si>
    <t>給湯16</t>
    <rPh sb="0" eb="2">
      <t>キュウトウ</t>
    </rPh>
    <phoneticPr fontId="1"/>
  </si>
  <si>
    <t>給湯17</t>
    <rPh sb="0" eb="2">
      <t>キュウトウ</t>
    </rPh>
    <phoneticPr fontId="1"/>
  </si>
  <si>
    <t>給湯18</t>
    <rPh sb="0" eb="2">
      <t>キュウトウ</t>
    </rPh>
    <phoneticPr fontId="1"/>
  </si>
  <si>
    <t>給湯19</t>
    <rPh sb="0" eb="2">
      <t>キュウトウ</t>
    </rPh>
    <phoneticPr fontId="1"/>
  </si>
  <si>
    <t>給湯20</t>
    <rPh sb="0" eb="2">
      <t>キュウトウ</t>
    </rPh>
    <phoneticPr fontId="1"/>
  </si>
  <si>
    <t>三菱電機株式会社 SRT-P377UBD-E135 SRT-MU417-P SRT-PT377UBD-E135 2025-ME007</t>
    <phoneticPr fontId="1"/>
  </si>
  <si>
    <t>品番_メーカ名_品番等</t>
    <rPh sb="0" eb="2">
      <t>ヒンバン</t>
    </rPh>
    <phoneticPr fontId="1"/>
  </si>
  <si>
    <t>照明01</t>
    <rPh sb="0" eb="2">
      <t>ショウメイ</t>
    </rPh>
    <phoneticPr fontId="1"/>
  </si>
  <si>
    <t>照明02</t>
    <rPh sb="0" eb="2">
      <t>ショウメイ</t>
    </rPh>
    <phoneticPr fontId="1"/>
  </si>
  <si>
    <t>照明03</t>
    <rPh sb="0" eb="2">
      <t>ショウメイ</t>
    </rPh>
    <phoneticPr fontId="1"/>
  </si>
  <si>
    <t>照明04</t>
    <rPh sb="0" eb="2">
      <t>ショウメイ</t>
    </rPh>
    <phoneticPr fontId="1"/>
  </si>
  <si>
    <t>照明05</t>
    <rPh sb="0" eb="2">
      <t>ショウメイ</t>
    </rPh>
    <phoneticPr fontId="1"/>
  </si>
  <si>
    <t>照明06</t>
    <rPh sb="0" eb="2">
      <t>ショウメイ</t>
    </rPh>
    <phoneticPr fontId="1"/>
  </si>
  <si>
    <t>照明07</t>
    <rPh sb="0" eb="2">
      <t>ショウメイ</t>
    </rPh>
    <phoneticPr fontId="1"/>
  </si>
  <si>
    <t>照明08</t>
    <rPh sb="0" eb="2">
      <t>ショウメイ</t>
    </rPh>
    <phoneticPr fontId="1"/>
  </si>
  <si>
    <t>照明09</t>
    <rPh sb="0" eb="2">
      <t>ショウメイ</t>
    </rPh>
    <phoneticPr fontId="1"/>
  </si>
  <si>
    <t>太陽光01</t>
    <rPh sb="0" eb="3">
      <t>タイヨウコウ</t>
    </rPh>
    <phoneticPr fontId="1"/>
  </si>
  <si>
    <t>太陽光02</t>
    <rPh sb="0" eb="3">
      <t>タイヨウコウ</t>
    </rPh>
    <phoneticPr fontId="1"/>
  </si>
  <si>
    <t>太陽光03</t>
    <rPh sb="0" eb="3">
      <t>タイヨウコウ</t>
    </rPh>
    <phoneticPr fontId="1"/>
  </si>
  <si>
    <t>太陽光04</t>
    <rPh sb="0" eb="3">
      <t>タイヨウコウ</t>
    </rPh>
    <phoneticPr fontId="1"/>
  </si>
  <si>
    <t>太陽光05</t>
    <rPh sb="0" eb="3">
      <t>タイヨウコウ</t>
    </rPh>
    <phoneticPr fontId="1"/>
  </si>
  <si>
    <t>太陽光06</t>
    <rPh sb="0" eb="3">
      <t>タイヨウコウ</t>
    </rPh>
    <phoneticPr fontId="1"/>
  </si>
  <si>
    <t>太陽光07</t>
    <rPh sb="0" eb="3">
      <t>タイヨウコウ</t>
    </rPh>
    <phoneticPr fontId="1"/>
  </si>
  <si>
    <t>太陽光08</t>
    <rPh sb="0" eb="3">
      <t>タイヨウコウ</t>
    </rPh>
    <phoneticPr fontId="1"/>
  </si>
  <si>
    <t>太陽光09</t>
    <rPh sb="0" eb="3">
      <t>タイヨウコウ</t>
    </rPh>
    <phoneticPr fontId="1"/>
  </si>
  <si>
    <t>太陽光10</t>
    <rPh sb="0" eb="3">
      <t>タイヨウコウ</t>
    </rPh>
    <phoneticPr fontId="1"/>
  </si>
  <si>
    <t>太陽光11</t>
    <rPh sb="0" eb="3">
      <t>タイヨウコウ</t>
    </rPh>
    <phoneticPr fontId="1"/>
  </si>
  <si>
    <t>太陽光12</t>
    <rPh sb="0" eb="3">
      <t>タイヨウコウ</t>
    </rPh>
    <phoneticPr fontId="1"/>
  </si>
  <si>
    <t>太陽光13</t>
    <rPh sb="0" eb="3">
      <t>タイヨウコウ</t>
    </rPh>
    <phoneticPr fontId="1"/>
  </si>
  <si>
    <t>太陽光14</t>
    <rPh sb="0" eb="3">
      <t>タイヨウコウ</t>
    </rPh>
    <phoneticPr fontId="1"/>
  </si>
  <si>
    <t>太陽光15</t>
    <rPh sb="0" eb="3">
      <t>タイヨウコウ</t>
    </rPh>
    <phoneticPr fontId="1"/>
  </si>
  <si>
    <t>太陽光16</t>
    <rPh sb="0" eb="3">
      <t>タイヨウコウ</t>
    </rPh>
    <phoneticPr fontId="1"/>
  </si>
  <si>
    <t>太陽光17</t>
    <rPh sb="0" eb="3">
      <t>タイヨウコウ</t>
    </rPh>
    <phoneticPr fontId="1"/>
  </si>
  <si>
    <t>太陽光18</t>
    <rPh sb="0" eb="3">
      <t>タイヨウコウ</t>
    </rPh>
    <phoneticPr fontId="1"/>
  </si>
  <si>
    <t>太陽光19</t>
    <rPh sb="0" eb="3">
      <t>タイヨウコウ</t>
    </rPh>
    <phoneticPr fontId="1"/>
  </si>
  <si>
    <t>太陽光20</t>
    <rPh sb="0" eb="3">
      <t>タイヨウコウ</t>
    </rPh>
    <phoneticPr fontId="1"/>
  </si>
  <si>
    <t>給湯接続方式の種類_密閉形太陽熱温水器_直圧式</t>
  </si>
  <si>
    <t>集熱部効率係数_b0</t>
  </si>
  <si>
    <t>集熱部損失係数_b1</t>
  </si>
  <si>
    <t>太陽熱01</t>
    <rPh sb="0" eb="3">
      <t>タイヨウネツ</t>
    </rPh>
    <phoneticPr fontId="1"/>
  </si>
  <si>
    <t>太陽熱02</t>
    <rPh sb="0" eb="3">
      <t>タイヨウネツ</t>
    </rPh>
    <phoneticPr fontId="1"/>
  </si>
  <si>
    <t>太陽熱03</t>
    <rPh sb="0" eb="3">
      <t>タイヨウネツ</t>
    </rPh>
    <phoneticPr fontId="1"/>
  </si>
  <si>
    <t>太陽熱04</t>
    <rPh sb="0" eb="3">
      <t>タイヨウネツ</t>
    </rPh>
    <phoneticPr fontId="1"/>
  </si>
  <si>
    <t>太陽熱05</t>
    <rPh sb="0" eb="3">
      <t>タイヨウネツ</t>
    </rPh>
    <phoneticPr fontId="1"/>
  </si>
  <si>
    <t>太陽熱06</t>
    <rPh sb="0" eb="3">
      <t>タイヨウネツ</t>
    </rPh>
    <phoneticPr fontId="1"/>
  </si>
  <si>
    <t>太陽熱07</t>
    <rPh sb="0" eb="3">
      <t>タイヨウネツ</t>
    </rPh>
    <phoneticPr fontId="1"/>
  </si>
  <si>
    <t>太陽熱08</t>
    <rPh sb="0" eb="3">
      <t>タイヨウネツ</t>
    </rPh>
    <phoneticPr fontId="1"/>
  </si>
  <si>
    <t>太陽熱09</t>
    <rPh sb="0" eb="3">
      <t>タイヨウネツ</t>
    </rPh>
    <phoneticPr fontId="1"/>
  </si>
  <si>
    <t>太陽熱10</t>
    <rPh sb="0" eb="3">
      <t>タイヨウネツ</t>
    </rPh>
    <phoneticPr fontId="1"/>
  </si>
  <si>
    <t>太陽熱11</t>
    <rPh sb="0" eb="3">
      <t>タイヨウネツ</t>
    </rPh>
    <phoneticPr fontId="1"/>
  </si>
  <si>
    <t>太陽熱12</t>
    <rPh sb="0" eb="3">
      <t>タイヨウネツ</t>
    </rPh>
    <phoneticPr fontId="1"/>
  </si>
  <si>
    <t>太陽熱13</t>
    <rPh sb="0" eb="3">
      <t>タイヨウネツ</t>
    </rPh>
    <phoneticPr fontId="1"/>
  </si>
  <si>
    <t>太陽熱14</t>
    <rPh sb="0" eb="3">
      <t>タイヨウネツ</t>
    </rPh>
    <phoneticPr fontId="1"/>
  </si>
  <si>
    <t>太陽熱15</t>
    <rPh sb="0" eb="3">
      <t>タイヨウネツ</t>
    </rPh>
    <phoneticPr fontId="1"/>
  </si>
  <si>
    <t>太陽熱16</t>
    <rPh sb="0" eb="3">
      <t>タイヨウネツ</t>
    </rPh>
    <phoneticPr fontId="1"/>
  </si>
  <si>
    <t>太陽熱17</t>
    <rPh sb="0" eb="3">
      <t>タイヨウネツ</t>
    </rPh>
    <phoneticPr fontId="1"/>
  </si>
  <si>
    <t>太陽熱18</t>
    <rPh sb="0" eb="3">
      <t>タイヨウネツ</t>
    </rPh>
    <phoneticPr fontId="1"/>
  </si>
  <si>
    <t>太陽熱19</t>
    <rPh sb="0" eb="3">
      <t>タイヨウネツ</t>
    </rPh>
    <phoneticPr fontId="1"/>
  </si>
  <si>
    <t>太陽熱20</t>
    <rPh sb="0" eb="3">
      <t>タイヨウネツ</t>
    </rPh>
    <phoneticPr fontId="1"/>
  </si>
  <si>
    <t>太陽熱21</t>
    <rPh sb="0" eb="3">
      <t>タイヨウネツ</t>
    </rPh>
    <phoneticPr fontId="1"/>
  </si>
  <si>
    <t>太陽熱22</t>
    <rPh sb="0" eb="3">
      <t>タイヨウネツ</t>
    </rPh>
    <phoneticPr fontId="1"/>
  </si>
  <si>
    <t>太陽熱23</t>
    <rPh sb="0" eb="3">
      <t>タイヨウネツ</t>
    </rPh>
    <phoneticPr fontId="1"/>
  </si>
  <si>
    <t>太陽熱24</t>
    <rPh sb="0" eb="3">
      <t>タイヨウネツ</t>
    </rPh>
    <phoneticPr fontId="1"/>
  </si>
  <si>
    <t>太陽熱25</t>
    <rPh sb="0" eb="3">
      <t>タイヨウネツ</t>
    </rPh>
    <phoneticPr fontId="1"/>
  </si>
  <si>
    <t>太陽熱26</t>
    <rPh sb="0" eb="3">
      <t>タイヨウネツ</t>
    </rPh>
    <phoneticPr fontId="1"/>
  </si>
  <si>
    <t>太陽熱27</t>
    <rPh sb="0" eb="3">
      <t>タイヨウネツ</t>
    </rPh>
    <phoneticPr fontId="1"/>
  </si>
  <si>
    <t>太陽熱28</t>
    <rPh sb="0" eb="3">
      <t>タイヨウネツ</t>
    </rPh>
    <phoneticPr fontId="1"/>
  </si>
  <si>
    <t>太陽熱29</t>
    <rPh sb="0" eb="3">
      <t>タイヨウネツ</t>
    </rPh>
    <phoneticPr fontId="1"/>
  </si>
  <si>
    <t>太陽熱30</t>
    <rPh sb="0" eb="3">
      <t>タイヨウネツ</t>
    </rPh>
    <phoneticPr fontId="1"/>
  </si>
  <si>
    <t>太陽熱31</t>
    <rPh sb="0" eb="3">
      <t>タイヨウネツ</t>
    </rPh>
    <phoneticPr fontId="1"/>
  </si>
  <si>
    <t>太陽熱32</t>
    <rPh sb="0" eb="3">
      <t>タイヨウネツ</t>
    </rPh>
    <phoneticPr fontId="1"/>
  </si>
  <si>
    <t>太陽熱33</t>
    <rPh sb="0" eb="3">
      <t>タイヨウネツ</t>
    </rPh>
    <phoneticPr fontId="1"/>
  </si>
  <si>
    <t>太陽熱34</t>
    <rPh sb="0" eb="3">
      <t>タイヨウネツ</t>
    </rPh>
    <phoneticPr fontId="1"/>
  </si>
  <si>
    <t>太陽熱35</t>
    <rPh sb="0" eb="3">
      <t>タイヨウネツ</t>
    </rPh>
    <phoneticPr fontId="1"/>
  </si>
  <si>
    <t>太陽熱36</t>
    <rPh sb="0" eb="3">
      <t>タイヨウネツ</t>
    </rPh>
    <phoneticPr fontId="1"/>
  </si>
  <si>
    <t>太陽熱37</t>
    <rPh sb="0" eb="3">
      <t>タイヨウネツ</t>
    </rPh>
    <phoneticPr fontId="1"/>
  </si>
  <si>
    <t>太陽熱38</t>
    <rPh sb="0" eb="3">
      <t>タイヨウネツ</t>
    </rPh>
    <phoneticPr fontId="1"/>
  </si>
  <si>
    <t>太陽熱39</t>
    <rPh sb="0" eb="3">
      <t>タイヨウネツ</t>
    </rPh>
    <phoneticPr fontId="1"/>
  </si>
  <si>
    <t>太陽熱40</t>
    <rPh sb="0" eb="3">
      <t>タイヨウネツ</t>
    </rPh>
    <phoneticPr fontId="1"/>
  </si>
  <si>
    <t>太陽熱41</t>
    <rPh sb="0" eb="3">
      <t>タイヨウネツ</t>
    </rPh>
    <phoneticPr fontId="1"/>
  </si>
  <si>
    <t>太陽熱42</t>
    <rPh sb="0" eb="3">
      <t>タイヨウネツ</t>
    </rPh>
    <phoneticPr fontId="1"/>
  </si>
  <si>
    <t>太陽熱43</t>
    <rPh sb="0" eb="3">
      <t>タイヨウネツ</t>
    </rPh>
    <phoneticPr fontId="1"/>
  </si>
  <si>
    <t>太陽熱44</t>
    <rPh sb="0" eb="3">
      <t>タイヨウネツ</t>
    </rPh>
    <phoneticPr fontId="1"/>
  </si>
  <si>
    <t>太陽熱45</t>
    <rPh sb="0" eb="3">
      <t>タイヨウネツ</t>
    </rPh>
    <phoneticPr fontId="1"/>
  </si>
  <si>
    <t>太陽熱46</t>
    <rPh sb="0" eb="3">
      <t>タイヨウネツ</t>
    </rPh>
    <phoneticPr fontId="1"/>
  </si>
  <si>
    <t>太陽熱47</t>
    <rPh sb="0" eb="3">
      <t>タイヨウネツ</t>
    </rPh>
    <phoneticPr fontId="1"/>
  </si>
  <si>
    <t>太陽熱48</t>
    <rPh sb="0" eb="3">
      <t>タイヨウネツ</t>
    </rPh>
    <phoneticPr fontId="1"/>
  </si>
  <si>
    <t>太陽熱49</t>
    <rPh sb="0" eb="3">
      <t>タイヨウネツ</t>
    </rPh>
    <phoneticPr fontId="1"/>
  </si>
  <si>
    <t>太陽熱50</t>
    <rPh sb="0" eb="3">
      <t>タイヨウネツ</t>
    </rPh>
    <phoneticPr fontId="1"/>
  </si>
  <si>
    <t>太陽熱51</t>
    <rPh sb="0" eb="3">
      <t>タイヨウネツ</t>
    </rPh>
    <phoneticPr fontId="1"/>
  </si>
  <si>
    <t>太陽熱52</t>
    <rPh sb="0" eb="3">
      <t>タイヨウネツ</t>
    </rPh>
    <phoneticPr fontId="1"/>
  </si>
  <si>
    <t>太陽熱53</t>
    <rPh sb="0" eb="3">
      <t>タイヨウネツ</t>
    </rPh>
    <phoneticPr fontId="1"/>
  </si>
  <si>
    <t>太陽熱54</t>
    <rPh sb="0" eb="3">
      <t>タイヨウネツ</t>
    </rPh>
    <phoneticPr fontId="1"/>
  </si>
  <si>
    <t>太陽熱55</t>
    <rPh sb="0" eb="3">
      <t>タイヨウネツ</t>
    </rPh>
    <phoneticPr fontId="1"/>
  </si>
  <si>
    <t>集熱器の集熱効率特性線図一次近似式の傾き_集熱器群その1</t>
    <phoneticPr fontId="1"/>
  </si>
  <si>
    <t>品番_メーカ名_品番等の一部</t>
  </si>
  <si>
    <t>品番_メーカ名_品番等の一部</t>
    <phoneticPr fontId="1"/>
  </si>
  <si>
    <t>項目（参照範囲名</t>
    <rPh sb="0" eb="2">
      <t>コウモク</t>
    </rPh>
    <rPh sb="3" eb="7">
      <t>サンショウハンイ</t>
    </rPh>
    <rPh sb="7" eb="8">
      <t>メイ</t>
    </rPh>
    <phoneticPr fontId="1"/>
  </si>
  <si>
    <t>項目+選択値（検索値をユニークにするため</t>
    <rPh sb="0" eb="2">
      <t>コウモク</t>
    </rPh>
    <rPh sb="3" eb="5">
      <t>センタク</t>
    </rPh>
    <rPh sb="5" eb="6">
      <t>アタイ</t>
    </rPh>
    <rPh sb="7" eb="9">
      <t>ケンサク</t>
    </rPh>
    <rPh sb="9" eb="10">
      <t>アタイ</t>
    </rPh>
    <phoneticPr fontId="1"/>
  </si>
  <si>
    <t>A1区分（年間の日射量が特に少ない地域</t>
  </si>
  <si>
    <t>A2区分（年間の日射量が少ない地域</t>
  </si>
  <si>
    <t>A3区分（年間の日射量が中程度の地域</t>
  </si>
  <si>
    <t>A4区分（年間の日射量が多い地域</t>
  </si>
  <si>
    <t>A5区分（年間の日射量が特に多い地域</t>
  </si>
  <si>
    <t>誘導仕様基準により外皮性能を評価する（住戸全体を対象に評価</t>
  </si>
  <si>
    <t>誘導仕様基準により外皮性能を評価する（増改築部分を対象に評価</t>
  </si>
  <si>
    <t>利用する（換気回数5回/h相当以上</t>
  </si>
  <si>
    <t>利用する（換気回数20回/h相当以上</t>
  </si>
  <si>
    <t>基準値の算定において想定される機器（増改築部分を対象に評価する場合の基準設定仕様</t>
  </si>
  <si>
    <t>入力しない（規定値を用いる</t>
  </si>
  <si>
    <t>入力しない（省エネルギー手法を評価しない、または採用しない</t>
  </si>
  <si>
    <t>入力しない（省エネルギー手法を採用する</t>
  </si>
  <si>
    <t>還気が給気に混入することのない場合、 もしくは熱交換型換気設備を評価しない、または設置しない場合（規定値を用いる</t>
  </si>
  <si>
    <t>PUの発電量推定時の仮想発電量_係数a_PU_小数点以下4桁</t>
  </si>
  <si>
    <t>PUの発電量推定時の仮想発電量_係数a_PU_小数点以下4桁</t>
    <phoneticPr fontId="1"/>
  </si>
  <si>
    <t>PUの発電量推定時の仮想発電量_係数a_DHW_小数点以下4桁</t>
  </si>
  <si>
    <t>PUの発電量推定時の仮想発電量_係数a_DHW_小数点以下4桁</t>
    <phoneticPr fontId="1"/>
  </si>
  <si>
    <t>PUの発電量推定時の仮想発電量_係数a_HWH_小数点以下4桁</t>
  </si>
  <si>
    <t>PUの発電量推定時の仮想発電量_係数a_HWH_小数点以下4桁</t>
    <phoneticPr fontId="1"/>
  </si>
  <si>
    <t>PUの発電量推定時の仮想発電量_係数b_小数点以下4桁</t>
  </si>
  <si>
    <t>PUの発電量推定時の仮想発電量_係数b_小数点以下4桁</t>
    <phoneticPr fontId="1"/>
  </si>
  <si>
    <t>PUの発電量推定時の仮想発電量_係数c_小数点以下4桁</t>
  </si>
  <si>
    <t>PUの発電量推定時の仮想発電量_係数c_小数点以下4桁</t>
    <phoneticPr fontId="1"/>
  </si>
  <si>
    <t>PUの排熱量推定時の仮想燃料消費量_係数a_DHW_小数点以下4桁</t>
  </si>
  <si>
    <t>PUの排熱量推定時の仮想燃料消費量_係数a_DHW_小数点以下4桁</t>
    <phoneticPr fontId="1"/>
  </si>
  <si>
    <t>PUの排熱量推定時の仮想燃料消費量_係数a_HWH_小数点以下4桁</t>
  </si>
  <si>
    <t>PUの排熱量推定時の仮想燃料消費量_係数a_HWH_小数点以下4桁</t>
    <phoneticPr fontId="1"/>
  </si>
  <si>
    <t>PUの排熱量推定時の仮想排熱量上限比_係数a_DHW_小数点以下4桁</t>
  </si>
  <si>
    <t>PUの排熱量推定時の仮想排熱量上限比_係数a_DHW_小数点以下4桁</t>
    <phoneticPr fontId="1"/>
  </si>
  <si>
    <t>PUの排熱量推定時の仮想排熱量上限比_係数a_HWH_小数点以下4桁</t>
  </si>
  <si>
    <t>PUの排熱量推定時の仮想排熱量上限比_係数a_HWH_小数点以下4桁</t>
    <phoneticPr fontId="1"/>
  </si>
  <si>
    <t>PUの排熱量推定時の仮想排熱量上限比_係数b_小数点以下4桁</t>
  </si>
  <si>
    <t>PUの排熱量推定時の仮想排熱量上限比_係数b_小数点以下4桁</t>
    <phoneticPr fontId="1"/>
  </si>
  <si>
    <t>PUの日平均発電効率_係数a_PU_小数点以下6桁</t>
  </si>
  <si>
    <t>PUの日平均発電効率_係数a_PU_小数点以下6桁</t>
    <phoneticPr fontId="1"/>
  </si>
  <si>
    <t>PUの日平均発電効率_係数a_DHW_小数点以下6桁</t>
  </si>
  <si>
    <t>PUの日平均発電効率_係数a_DHW_小数点以下6桁</t>
    <phoneticPr fontId="1"/>
  </si>
  <si>
    <t>PUの日平均発電効率_係数a_HWH_小数点以下6桁</t>
  </si>
  <si>
    <t>PUの日平均発電効率_係数a_HWH_小数点以下6桁</t>
    <phoneticPr fontId="1"/>
  </si>
  <si>
    <t>PUの日平均発電効率_係数b_小数点以下4桁</t>
  </si>
  <si>
    <t>PUの日平均発電効率_係数b_小数点以下4桁</t>
    <phoneticPr fontId="1"/>
  </si>
  <si>
    <t>PUの日平均発電効率_上限値_小数点以下4桁</t>
  </si>
  <si>
    <t>PUの日平均発電効率_上限値_小数点以下4桁</t>
    <phoneticPr fontId="1"/>
  </si>
  <si>
    <t>PUの日平均発電効率_下限値_小数点以下4桁</t>
  </si>
  <si>
    <t>PUの日平均発電効率_下限値_小数点以下4桁</t>
    <phoneticPr fontId="1"/>
  </si>
  <si>
    <t>PUの日平均排熱効率_係数a_PU_小数点以下6桁</t>
  </si>
  <si>
    <t>PUの日平均排熱効率_係数a_PU_小数点以下6桁</t>
    <phoneticPr fontId="1"/>
  </si>
  <si>
    <t>PUの日平均排熱効率_係数a_DHW_小数点以下6桁</t>
  </si>
  <si>
    <t>PUの日平均排熱効率_係数a_DHW_小数点以下6桁</t>
    <phoneticPr fontId="1"/>
  </si>
  <si>
    <t>PUの日平均排熱効率_係数a_HWH_小数点以下6桁</t>
  </si>
  <si>
    <t>PUの日平均排熱効率_係数a_HWH_小数点以下6桁</t>
    <phoneticPr fontId="1"/>
  </si>
  <si>
    <t>PUの日平均排熱効率_係数b_小数点以下4桁</t>
  </si>
  <si>
    <t>PUの日平均排熱効率_係数b_小数点以下4桁</t>
    <phoneticPr fontId="1"/>
  </si>
  <si>
    <t>PUの日平均排熱効率_上限値_小数点以下4桁</t>
  </si>
  <si>
    <t>PUの日平均排熱効率_上限値_小数点以下4桁</t>
    <phoneticPr fontId="1"/>
  </si>
  <si>
    <t>PUの日平均排熱効率_下限値_小数点以下4桁</t>
  </si>
  <si>
    <t>PUの日平均排熱効率_下限値_小数点以下4桁</t>
    <phoneticPr fontId="1"/>
  </si>
  <si>
    <t>コージュネ01</t>
    <phoneticPr fontId="1"/>
  </si>
  <si>
    <t>コージュネ02</t>
  </si>
  <si>
    <t>コージュネ04</t>
  </si>
  <si>
    <t>コージュネ05</t>
  </si>
  <si>
    <t>コージュネ06</t>
  </si>
  <si>
    <t>コージュネ07</t>
  </si>
  <si>
    <t>コージュネ08</t>
  </si>
  <si>
    <t>コージュネ09</t>
  </si>
  <si>
    <t>コージュネ10</t>
  </si>
  <si>
    <t>コージュネ11</t>
  </si>
  <si>
    <t>コージュネ12</t>
  </si>
  <si>
    <t>コージュネ13</t>
  </si>
  <si>
    <t>コージュネ14</t>
  </si>
  <si>
    <t>コージュネ15</t>
  </si>
  <si>
    <t>コージュネ16</t>
  </si>
  <si>
    <t>コージュネ17</t>
  </si>
  <si>
    <t>コージュネ18</t>
  </si>
  <si>
    <t>コージュネ19</t>
  </si>
  <si>
    <t>コージュネ20</t>
  </si>
  <si>
    <t>コージュネ21</t>
  </si>
  <si>
    <t>コージュネ22</t>
  </si>
  <si>
    <t>コージュネ23</t>
  </si>
  <si>
    <t>コージュネ24</t>
  </si>
  <si>
    <t>コージュネ25</t>
  </si>
  <si>
    <t>コージュネ26</t>
  </si>
  <si>
    <t>コージュネ27</t>
  </si>
  <si>
    <t>コージュネ28</t>
  </si>
  <si>
    <t>コージュネ29</t>
  </si>
  <si>
    <t>コージュネ30</t>
  </si>
  <si>
    <t>コージュネ31</t>
  </si>
  <si>
    <t>コージュネ32</t>
  </si>
  <si>
    <t>コージュネ33</t>
  </si>
  <si>
    <t>コージュネ34</t>
  </si>
  <si>
    <t>変数名</t>
    <rPh sb="0" eb="2">
      <t>ヘンスウ</t>
    </rPh>
    <phoneticPr fontId="1"/>
  </si>
  <si>
    <t>FileVer</t>
    <phoneticPr fontId="1"/>
  </si>
  <si>
    <t>基本情報</t>
    <rPh sb="0" eb="2">
      <t>キホン</t>
    </rPh>
    <rPh sb="2" eb="4">
      <t>ジョウホウ</t>
    </rPh>
    <phoneticPr fontId="1"/>
  </si>
  <si>
    <t>Name</t>
  </si>
  <si>
    <t>住宅タイプの名称</t>
    <rPh sb="0" eb="2">
      <t>ジュウタク</t>
    </rPh>
    <rPh sb="6" eb="8">
      <t>メイショウ</t>
    </rPh>
    <phoneticPr fontId="1"/>
  </si>
  <si>
    <t>デフォルト</t>
    <phoneticPr fontId="1"/>
  </si>
  <si>
    <t>←の居室にい</t>
    <rPh sb="2" eb="4">
      <t>キョシツ</t>
    </rPh>
    <phoneticPr fontId="1"/>
  </si>
  <si>
    <t>←の居室に小能力</t>
    <rPh sb="2" eb="4">
      <t>キョシツ</t>
    </rPh>
    <rPh sb="5" eb="6">
      <t>ショウ</t>
    </rPh>
    <rPh sb="6" eb="8">
      <t>ノウリョク</t>
    </rPh>
    <phoneticPr fontId="1"/>
  </si>
  <si>
    <t>←のその他にい</t>
    <rPh sb="4" eb="5">
      <t>タ</t>
    </rPh>
    <phoneticPr fontId="1"/>
  </si>
  <si>
    <t>←のその他に高効率</t>
    <rPh sb="4" eb="5">
      <t>タ</t>
    </rPh>
    <rPh sb="6" eb="9">
      <t>コウコウリツ</t>
    </rPh>
    <phoneticPr fontId="1"/>
  </si>
  <si>
    <t>←の給湯にSPEC入力</t>
    <rPh sb="2" eb="4">
      <t>キュウトウ</t>
    </rPh>
    <rPh sb="9" eb="11">
      <t>ニュウリョク</t>
    </rPh>
    <phoneticPr fontId="1"/>
  </si>
  <si>
    <t>PersonInCharg</t>
  </si>
  <si>
    <t>入力責任者</t>
    <rPh sb="0" eb="2">
      <t>ニュウリョク</t>
    </rPh>
    <rPh sb="2" eb="5">
      <t>セキニンシャ</t>
    </rPh>
    <phoneticPr fontId="1"/>
  </si>
  <si>
    <t>○○○○</t>
  </si>
  <si>
    <t>Type_house</t>
  </si>
  <si>
    <t>住宅の建て方</t>
    <rPh sb="0" eb="2">
      <t>ジュウタク</t>
    </rPh>
    <rPh sb="3" eb="4">
      <t>タ</t>
    </rPh>
    <rPh sb="5" eb="6">
      <t>カタ</t>
    </rPh>
    <phoneticPr fontId="1"/>
  </si>
  <si>
    <t>Standard,Independent</t>
  </si>
  <si>
    <t>EvaluationMethod</t>
  </si>
  <si>
    <t>住戸の評価方法</t>
    <rPh sb="0" eb="1">
      <t>ジュウ</t>
    </rPh>
    <rPh sb="1" eb="2">
      <t>ト</t>
    </rPh>
    <rPh sb="3" eb="5">
      <t>ヒョウカ</t>
    </rPh>
    <rPh sb="5" eb="7">
      <t>ホウホウ</t>
    </rPh>
    <phoneticPr fontId="1"/>
  </si>
  <si>
    <t>Area_a</t>
  </si>
  <si>
    <t>床面積（主たる居室）</t>
    <rPh sb="0" eb="3">
      <t>ユカメンセキ</t>
    </rPh>
    <rPh sb="4" eb="5">
      <t>シュ</t>
    </rPh>
    <rPh sb="7" eb="9">
      <t>キョシツ</t>
    </rPh>
    <phoneticPr fontId="1"/>
  </si>
  <si>
    <t>Area_b</t>
  </si>
  <si>
    <t>床面積（その他の居室）</t>
    <rPh sb="0" eb="3">
      <t>ユカメンセキ</t>
    </rPh>
    <rPh sb="6" eb="7">
      <t>タ</t>
    </rPh>
    <rPh sb="8" eb="10">
      <t>キョシツ</t>
    </rPh>
    <phoneticPr fontId="1"/>
  </si>
  <si>
    <t>TotalArea</t>
  </si>
  <si>
    <t>床面積（合計）</t>
    <rPh sb="0" eb="3">
      <t>ユカメンセキ</t>
    </rPh>
    <rPh sb="4" eb="6">
      <t>ゴウケイ</t>
    </rPh>
    <phoneticPr fontId="1"/>
  </si>
  <si>
    <t>Environment_Region</t>
  </si>
  <si>
    <t>地域の区分</t>
    <rPh sb="0" eb="2">
      <t>チイキ</t>
    </rPh>
    <rPh sb="3" eb="5">
      <t>クブン</t>
    </rPh>
    <phoneticPr fontId="1"/>
  </si>
  <si>
    <t>AnnualSolarLevel</t>
    <phoneticPr fontId="1"/>
  </si>
  <si>
    <t>年間の日射地域区分の指定</t>
    <rPh sb="0" eb="2">
      <t>ネンカン</t>
    </rPh>
    <rPh sb="3" eb="5">
      <t>ニッシャ</t>
    </rPh>
    <rPh sb="5" eb="7">
      <t>チイキ</t>
    </rPh>
    <rPh sb="7" eb="9">
      <t>クブン</t>
    </rPh>
    <rPh sb="10" eb="12">
      <t>シテイ</t>
    </rPh>
    <phoneticPr fontId="1"/>
  </si>
  <si>
    <t>EvaluationMethod_Envelope</t>
  </si>
  <si>
    <t>Real</t>
  </si>
  <si>
    <t>TotalEnvelopeArea</t>
  </si>
  <si>
    <t>外皮面積の合計</t>
    <phoneticPr fontId="1"/>
  </si>
  <si>
    <t>UAValue</t>
  </si>
  <si>
    <t>外皮平均熱貫流率（UA）</t>
    <phoneticPr fontId="1"/>
  </si>
  <si>
    <t>SummerHAValue</t>
  </si>
  <si>
    <t>WinterHAValue</t>
  </si>
  <si>
    <t>NaturalWind_a</t>
  </si>
  <si>
    <t>通風の利用（主たる居室）</t>
    <phoneticPr fontId="1"/>
  </si>
  <si>
    <t>NaturalWind_b</t>
  </si>
  <si>
    <t>通風の利用（その他の居室）</t>
    <phoneticPr fontId="1"/>
  </si>
  <si>
    <t>Envelope_HeatStorage</t>
  </si>
  <si>
    <t>蓄熱の利用</t>
    <phoneticPr fontId="1"/>
  </si>
  <si>
    <t>None</t>
  </si>
  <si>
    <t>UnderFloorVentilation</t>
    <phoneticPr fontId="1"/>
  </si>
  <si>
    <t>床下空間を経由して外気を導入する換気方式の利用</t>
    <phoneticPr fontId="1"/>
  </si>
  <si>
    <t xml:space="preserve">None </t>
  </si>
  <si>
    <t>UnderFloorVentilationAreaRate</t>
    <phoneticPr fontId="1"/>
  </si>
  <si>
    <t>UnderFloorInsulation</t>
  </si>
  <si>
    <t>床下空間の断熱</t>
    <phoneticPr fontId="1"/>
  </si>
  <si>
    <t>暖房
※ひとまず
RACのみ対応</t>
    <rPh sb="0" eb="2">
      <t>ダンボウ</t>
    </rPh>
    <rPh sb="14" eb="16">
      <t>タイオウ</t>
    </rPh>
    <phoneticPr fontId="1"/>
  </si>
  <si>
    <t>Type_Heating</t>
    <phoneticPr fontId="1"/>
  </si>
  <si>
    <t>暖房方式</t>
    <phoneticPr fontId="1"/>
  </si>
  <si>
    <t>Individual</t>
  </si>
  <si>
    <t>（主たる居室の暖房機器）</t>
    <rPh sb="1" eb="2">
      <t>シュ</t>
    </rPh>
    <rPh sb="4" eb="6">
      <t>キョシツ</t>
    </rPh>
    <rPh sb="7" eb="9">
      <t>ダンボウ</t>
    </rPh>
    <rPh sb="9" eb="11">
      <t>キキ</t>
    </rPh>
    <phoneticPr fontId="1"/>
  </si>
  <si>
    <t>暖房設備機器または放熱器の種類</t>
    <phoneticPr fontId="1"/>
  </si>
  <si>
    <t>RoomAirConditioningHeating</t>
  </si>
  <si>
    <t>Efficiency_Heating_main</t>
    <phoneticPr fontId="1"/>
  </si>
  <si>
    <t>エネルギー消費効率の区分　※空欄は「入力しない」</t>
    <rPh sb="14" eb="16">
      <t>クウラン</t>
    </rPh>
    <rPh sb="18" eb="20">
      <t>ニュウリョク</t>
    </rPh>
    <phoneticPr fontId="1"/>
  </si>
  <si>
    <t>I</t>
  </si>
  <si>
    <t>Compressor_Heating_main</t>
    <phoneticPr fontId="1"/>
  </si>
  <si>
    <t>小能力時高効率型コンプレッサー　※↑が「入力しない」なら空欄</t>
    <rPh sb="20" eb="22">
      <t>ニュウリョク</t>
    </rPh>
    <rPh sb="28" eb="30">
      <t>クウラン</t>
    </rPh>
    <phoneticPr fontId="1"/>
  </si>
  <si>
    <t>Single</t>
  </si>
  <si>
    <t>Variable</t>
  </si>
  <si>
    <t>（その他の居室の暖房機器）</t>
    <rPh sb="3" eb="4">
      <t>タ</t>
    </rPh>
    <rPh sb="5" eb="7">
      <t>キョシツ</t>
    </rPh>
    <rPh sb="8" eb="10">
      <t>ダンボウ</t>
    </rPh>
    <rPh sb="10" eb="12">
      <t>キキ</t>
    </rPh>
    <phoneticPr fontId="1"/>
  </si>
  <si>
    <t>Efficiency_Heating_sub</t>
    <phoneticPr fontId="1"/>
  </si>
  <si>
    <t>Compressor_Heating_sub</t>
    <phoneticPr fontId="1"/>
  </si>
  <si>
    <t>冷房
※ひとまず
RACのみ対応</t>
    <rPh sb="0" eb="2">
      <t>レイボウ</t>
    </rPh>
    <phoneticPr fontId="1"/>
  </si>
  <si>
    <t>Type_Cooling</t>
    <phoneticPr fontId="1"/>
  </si>
  <si>
    <t>（主たる居室の冷房機器）</t>
    <rPh sb="1" eb="2">
      <t>シュ</t>
    </rPh>
    <rPh sb="4" eb="6">
      <t>キョシツ</t>
    </rPh>
    <rPh sb="7" eb="9">
      <t>レイボウ</t>
    </rPh>
    <rPh sb="9" eb="11">
      <t>キキ</t>
    </rPh>
    <phoneticPr fontId="1"/>
  </si>
  <si>
    <t>冷房設備機器の種類</t>
    <phoneticPr fontId="1"/>
  </si>
  <si>
    <t>RoomAirConditioningCooling</t>
  </si>
  <si>
    <t>Efficiency_Cooling_main</t>
    <phoneticPr fontId="1"/>
  </si>
  <si>
    <t>Compressor_Cooling_main</t>
    <phoneticPr fontId="1"/>
  </si>
  <si>
    <t>（その他の居室の冷房機器）</t>
    <rPh sb="3" eb="4">
      <t>タ</t>
    </rPh>
    <rPh sb="5" eb="7">
      <t>キョシツ</t>
    </rPh>
    <rPh sb="7" eb="9">
      <t>レイボウ</t>
    </rPh>
    <rPh sb="9" eb="11">
      <t>キキ</t>
    </rPh>
    <phoneticPr fontId="1"/>
  </si>
  <si>
    <t>Efficiency_Cooling_sub</t>
    <phoneticPr fontId="1"/>
  </si>
  <si>
    <t>Compressor_Cooling_sub</t>
    <phoneticPr fontId="1"/>
  </si>
  <si>
    <t>Type_Ventilation</t>
  </si>
  <si>
    <t>DuctVentilation2or3</t>
  </si>
  <si>
    <t>SFP</t>
  </si>
  <si>
    <t>比消費電力　※空欄は「入力しない」</t>
    <rPh sb="7" eb="9">
      <t>クウラン</t>
    </rPh>
    <rPh sb="11" eb="13">
      <t>ニュウリョク</t>
    </rPh>
    <phoneticPr fontId="1"/>
  </si>
  <si>
    <t>Saving</t>
    <phoneticPr fontId="1"/>
  </si>
  <si>
    <t>省エネルギー手法</t>
    <phoneticPr fontId="1"/>
  </si>
  <si>
    <t>Frequency</t>
  </si>
  <si>
    <t>換気回数</t>
    <phoneticPr fontId="1"/>
  </si>
  <si>
    <t>HalfPerHour</t>
  </si>
  <si>
    <t>HeatExchanger</t>
    <phoneticPr fontId="1"/>
  </si>
  <si>
    <t>Efficiency</t>
  </si>
  <si>
    <t>入力不要（第1種換気設備の場合における有効換気量率）</t>
    <rPh sb="0" eb="2">
      <t>ニュウリョク</t>
    </rPh>
    <rPh sb="2" eb="4">
      <t>フヨウ</t>
    </rPh>
    <phoneticPr fontId="1"/>
  </si>
  <si>
    <t>HeatExchangerEfficiency</t>
  </si>
  <si>
    <t>温度交換効率　※空欄は「入力しない」</t>
    <rPh sb="8" eb="10">
      <t>クウラン</t>
    </rPh>
    <rPh sb="12" eb="14">
      <t>ニュウリョク</t>
    </rPh>
    <phoneticPr fontId="1"/>
  </si>
  <si>
    <t>HeatExchangerLeak</t>
  </si>
  <si>
    <t>排気過多時における住宅外皮経由の漏気による温度交換効率の補正係数</t>
    <phoneticPr fontId="1"/>
  </si>
  <si>
    <t>HeatExchangerBal</t>
  </si>
  <si>
    <t>給気と排気の比率による温度交換効率の補正係数</t>
    <phoneticPr fontId="1"/>
  </si>
  <si>
    <t>Install</t>
  </si>
  <si>
    <t>TapAndBath</t>
  </si>
  <si>
    <t>Type_Hotwater</t>
    <phoneticPr fontId="1"/>
  </si>
  <si>
    <t>熱源機の種類</t>
    <phoneticPr fontId="1"/>
  </si>
  <si>
    <t>ElectricHeatPump</t>
  </si>
  <si>
    <t>Name_EQ</t>
    <phoneticPr fontId="1"/>
  </si>
  <si>
    <t>電気ヒートポンプ給湯機の指定（品番を指定する）</t>
    <rPh sb="15" eb="17">
      <t>ヒンバン</t>
    </rPh>
    <rPh sb="18" eb="20">
      <t>シテイ</t>
    </rPh>
    <phoneticPr fontId="1"/>
  </si>
  <si>
    <t>EfficiencyType</t>
    <phoneticPr fontId="1"/>
  </si>
  <si>
    <t>※ガス・石油または給湯温水暖房機の場合に入力、入力不要</t>
    <rPh sb="4" eb="6">
      <t>セキユ</t>
    </rPh>
    <rPh sb="9" eb="11">
      <t>キュウトウ</t>
    </rPh>
    <rPh sb="11" eb="13">
      <t>オンスイ</t>
    </rPh>
    <rPh sb="13" eb="16">
      <t>ダンボウキ</t>
    </rPh>
    <rPh sb="17" eb="19">
      <t>バアイ</t>
    </rPh>
    <rPh sb="20" eb="22">
      <t>ニュウリョク</t>
    </rPh>
    <rPh sb="23" eb="25">
      <t>ニュウリョク</t>
    </rPh>
    <rPh sb="25" eb="27">
      <t>フヨウ</t>
    </rPh>
    <phoneticPr fontId="1"/>
  </si>
  <si>
    <t>JISEfficiency</t>
    <phoneticPr fontId="1"/>
  </si>
  <si>
    <t>JIS効率　※空欄は「規定値を用いる」</t>
    <rPh sb="11" eb="14">
      <t>キテイチ</t>
    </rPh>
    <rPh sb="15" eb="16">
      <t>モチ</t>
    </rPh>
    <phoneticPr fontId="1"/>
  </si>
  <si>
    <t>DaytimeHeating</t>
  </si>
  <si>
    <t>昼間沸上げ</t>
    <phoneticPr fontId="1"/>
  </si>
  <si>
    <t>InputDaytimeHeatingSpec</t>
    <phoneticPr fontId="1"/>
  </si>
  <si>
    <t>昼間沸上げの仕様の入力</t>
    <phoneticPr fontId="1"/>
  </si>
  <si>
    <t>DaytimeHeatingControl</t>
    <phoneticPr fontId="1"/>
  </si>
  <si>
    <t>昼間沸上げ時間帯の制御</t>
    <phoneticPr fontId="1"/>
  </si>
  <si>
    <t>DaytimePowerRate</t>
    <phoneticPr fontId="1"/>
  </si>
  <si>
    <t>昼間消費電力量比率</t>
    <phoneticPr fontId="1"/>
  </si>
  <si>
    <t>SystemNumber</t>
    <phoneticPr fontId="1"/>
  </si>
  <si>
    <t>（EQ品番指定なしなら入力不要）</t>
    <rPh sb="3" eb="5">
      <t>ヒンバン</t>
    </rPh>
    <rPh sb="5" eb="7">
      <t>シテイ</t>
    </rPh>
    <rPh sb="11" eb="13">
      <t>ニュウリョク</t>
    </rPh>
    <rPh sb="13" eb="15">
      <t>フヨウ</t>
    </rPh>
    <phoneticPr fontId="1"/>
  </si>
  <si>
    <t>HeatPumpUnit</t>
    <phoneticPr fontId="1"/>
  </si>
  <si>
    <t>TankUnit</t>
    <phoneticPr fontId="1"/>
  </si>
  <si>
    <t>BackupBoiler</t>
    <phoneticPr fontId="1"/>
  </si>
  <si>
    <t>TankPlace</t>
    <phoneticPr fontId="1"/>
  </si>
  <si>
    <t>TankCapacity</t>
    <phoneticPr fontId="1"/>
  </si>
  <si>
    <t>Function_Bath</t>
    <phoneticPr fontId="1"/>
  </si>
  <si>
    <t>ふろ機能の種類</t>
    <phoneticPr fontId="1"/>
  </si>
  <si>
    <t>BathReheating</t>
  </si>
  <si>
    <t>Type_Pipe</t>
    <phoneticPr fontId="1"/>
  </si>
  <si>
    <t>配管方式</t>
    <phoneticPr fontId="1"/>
  </si>
  <si>
    <t>Branch</t>
  </si>
  <si>
    <t>ヘッダー分岐後の配管径</t>
    <phoneticPr fontId="1"/>
  </si>
  <si>
    <t>Saving_BathShower</t>
    <phoneticPr fontId="1"/>
  </si>
  <si>
    <t>浴室シャワー水栓</t>
    <phoneticPr fontId="1"/>
  </si>
  <si>
    <t>TwoValve</t>
  </si>
  <si>
    <t>Saving_Kitchen</t>
    <phoneticPr fontId="1"/>
  </si>
  <si>
    <t>台所水栓</t>
    <phoneticPr fontId="1"/>
  </si>
  <si>
    <t>Saving_WashBowl</t>
    <phoneticPr fontId="1"/>
  </si>
  <si>
    <t>洗面水栓</t>
    <phoneticPr fontId="1"/>
  </si>
  <si>
    <t>Insulation</t>
    <phoneticPr fontId="1"/>
  </si>
  <si>
    <t>浴槽の保温措置</t>
    <phoneticPr fontId="1"/>
  </si>
  <si>
    <t>Normal</t>
  </si>
  <si>
    <t>Efficiency_MainZone</t>
    <phoneticPr fontId="1"/>
  </si>
  <si>
    <t>Multi_MainZone</t>
    <phoneticPr fontId="1"/>
  </si>
  <si>
    <t>多灯分散照明方式</t>
    <phoneticPr fontId="1"/>
  </si>
  <si>
    <t>Dimming_MainZone</t>
    <phoneticPr fontId="1"/>
  </si>
  <si>
    <t>調光が可能な制御</t>
    <phoneticPr fontId="1"/>
  </si>
  <si>
    <t>Efficiency_OtherZone</t>
    <phoneticPr fontId="1"/>
  </si>
  <si>
    <t>その他の居室の照明設備?</t>
    <phoneticPr fontId="1"/>
  </si>
  <si>
    <t>Dimming_OtherZone</t>
    <phoneticPr fontId="1"/>
  </si>
  <si>
    <t>照明器具の種類</t>
    <phoneticPr fontId="1"/>
  </si>
  <si>
    <t>Efficiency_NonLivingZone</t>
    <phoneticPr fontId="1"/>
  </si>
  <si>
    <t>非居室の照明設備</t>
    <phoneticPr fontId="1"/>
  </si>
  <si>
    <t>Sensor_NonLivingZone</t>
    <phoneticPr fontId="1"/>
  </si>
  <si>
    <t>人感センサー</t>
    <phoneticPr fontId="1"/>
  </si>
  <si>
    <t>※太陽光、コージェネはTBD</t>
    <rPh sb="1" eb="4">
      <t>タイヨウコウ</t>
    </rPh>
    <phoneticPr fontId="1"/>
  </si>
  <si>
    <t>名前</t>
  </si>
  <si>
    <t>説明</t>
  </si>
  <si>
    <t>一次エネルギー消費量
設計一次</t>
    <rPh sb="0" eb="2">
      <t>イチジ</t>
    </rPh>
    <rPh sb="7" eb="10">
      <t>ショウヒリョウ</t>
    </rPh>
    <rPh sb="11" eb="13">
      <t>セッケイ</t>
    </rPh>
    <rPh sb="13" eb="15">
      <t>イチジ</t>
    </rPh>
    <phoneticPr fontId="1"/>
  </si>
  <si>
    <t>E_H</t>
  </si>
  <si>
    <t>暖房設備の設計一次エネルギー消費量[MJ/年]</t>
  </si>
  <si>
    <t>E_C</t>
  </si>
  <si>
    <t>冷房設備の設計一次エネルギー消費量[MJ/年]</t>
  </si>
  <si>
    <t>E_V</t>
  </si>
  <si>
    <t>機械換気設備の設計一次エネルギー消費量[MJ/年]</t>
  </si>
  <si>
    <t>E_W</t>
    <phoneticPr fontId="1"/>
  </si>
  <si>
    <t>給湯設備の設計一次エネルギー消費量[MJ/年]</t>
  </si>
  <si>
    <t>E_L</t>
  </si>
  <si>
    <t>照明設備の設計一次エネルギー消費量[MJ/年]</t>
  </si>
  <si>
    <t>E_M</t>
  </si>
  <si>
    <t>その他の設計一次エネルギー消費量[MJ/年]</t>
  </si>
  <si>
    <t>E_S_h</t>
  </si>
  <si>
    <t>エネルギー利用効率化設備による発電量のうちの自家消費分に係る設計一次エネルギー消費量の削減量[MJ/年]</t>
    <phoneticPr fontId="1"/>
  </si>
  <si>
    <t>E_S_sell</t>
  </si>
  <si>
    <t>コージェネレーション設備の売電量に係る設計一次エネルギー消費量の控除量[MJ/年]</t>
    <phoneticPr fontId="1"/>
  </si>
  <si>
    <t>E_S_PV_h</t>
  </si>
  <si>
    <t>太陽光発電設備による発電量のうちの自家消費分に係る設計一次エネルギー消費量の削減量[MJ/年]</t>
    <phoneticPr fontId="1"/>
  </si>
  <si>
    <t>E_S_CG_h</t>
  </si>
  <si>
    <t>コージェネレーション設備による発電量のうちの自家消費分に係る設計一次エネルギー消費量の削減量[MJ/年]</t>
    <phoneticPr fontId="1"/>
  </si>
  <si>
    <t>E_PV_sell</t>
  </si>
  <si>
    <t>太陽光発電設備による売電量の一次エネルギー換算[MJ/年]</t>
  </si>
  <si>
    <t>E_PV_gen</t>
  </si>
  <si>
    <t>太陽光発電設備による発電量の一次エネルギー換算[MJ/年]</t>
  </si>
  <si>
    <t>E_CG_sell</t>
  </si>
  <si>
    <t>コージェネレーション設備による売電量の一次エネルギー換算[MJ/年]</t>
  </si>
  <si>
    <t>E_CG_gen</t>
  </si>
  <si>
    <t>コージェネレーション設備による発電量の一次エネルギー換算[MJ/年]</t>
  </si>
  <si>
    <t>E_T_gn_du</t>
  </si>
  <si>
    <t>建築物エネルギー消費性能基準（気候風土適応住宅を除く）における設計一次エネルギー消費量[MJ/年]</t>
    <phoneticPr fontId="1"/>
  </si>
  <si>
    <t>E_T_indc_du</t>
  </si>
  <si>
    <t>建築物エネルギー消費性能誘導基準における設計一次エネルギー消費量[MJ/年]</t>
    <phoneticPr fontId="1"/>
  </si>
  <si>
    <t>一次エネルギー消費量
基準一次</t>
    <rPh sb="11" eb="13">
      <t>キジュン</t>
    </rPh>
    <phoneticPr fontId="1"/>
  </si>
  <si>
    <t>E_SH</t>
  </si>
  <si>
    <t>暖房設備の基準一次エネルギー消費量[MJ/年]</t>
  </si>
  <si>
    <t>E_SC</t>
  </si>
  <si>
    <t>冷房設備の基準一次エネルギー消費量[MJ/年]</t>
  </si>
  <si>
    <t>E_SV</t>
  </si>
  <si>
    <t>機械換気設備の基準一次エネルギー消費量[MJ/年]</t>
  </si>
  <si>
    <t>E_SW</t>
  </si>
  <si>
    <t>給湯設備の基準一次エネルギー消費量[MJ/年]</t>
  </si>
  <si>
    <t>E_SL</t>
  </si>
  <si>
    <t>照明設備の基準一次エネルギー消費量[MJ/年]</t>
  </si>
  <si>
    <t>E_SM</t>
  </si>
  <si>
    <t>その他の設備の基準一次エネルギー消費量[MJ/年]</t>
  </si>
  <si>
    <t>E_ST</t>
  </si>
  <si>
    <t>建築物エネルギー消費性能基準における基準一次エネルギー消費量[MJ/年]</t>
    <phoneticPr fontId="1"/>
  </si>
  <si>
    <t>外皮性能</t>
    <rPh sb="0" eb="2">
      <t>ガイヒ</t>
    </rPh>
    <rPh sb="2" eb="4">
      <t>セイノウ</t>
    </rPh>
    <phoneticPr fontId="1"/>
  </si>
  <si>
    <t>U_A</t>
  </si>
  <si>
    <t>外皮平均熱貫流率[W/m2K]</t>
  </si>
  <si>
    <t>ETA_AC</t>
  </si>
  <si>
    <t>冷房期平均日射熱取得率[-]</t>
  </si>
  <si>
    <t>ETA_AH</t>
  </si>
  <si>
    <t>暖房期平均日射熱取得率[-]</t>
  </si>
  <si>
    <t>判定
設計一次</t>
    <phoneticPr fontId="1"/>
  </si>
  <si>
    <t>E_T_gn_du_GJ</t>
  </si>
  <si>
    <t>建築物エネルギー消費性能基準（気候風土適応住宅を除く）における設計一次エネルギー消費量[GJ/年]</t>
    <phoneticPr fontId="1"/>
  </si>
  <si>
    <t>E_T_indc_du_GJ</t>
  </si>
  <si>
    <t>建築物エネルギー消費性能誘導基準における設計一次エネルギー消費量[GJ/年]</t>
  </si>
  <si>
    <t>E_T_lcb_du_GJ</t>
  </si>
  <si>
    <t>建築物に係るエネルギーの使用の合理化の一層の促進のために誘導すべき基準における設計一次エネルギー消費量[GJ/年]</t>
    <phoneticPr fontId="1"/>
  </si>
  <si>
    <t>E_T_enh_du_GJ</t>
  </si>
  <si>
    <t>建築物の低炭素化の促進のために誘導すべきその他の基準における設計一次エネルギー消費量[GJ/年]</t>
    <phoneticPr fontId="1"/>
  </si>
  <si>
    <t>E_T_gn_du_GJ_WO</t>
  </si>
  <si>
    <t>建築物エネルギー消費性能基準（気候風土適応住宅を除く）における設計一次エネルギー消費量（その他の設計一次エネルギー消費量を除く）[GJ/年]</t>
    <phoneticPr fontId="1"/>
  </si>
  <si>
    <t>E_T_indc_du_GJ_WO</t>
  </si>
  <si>
    <t>建築物エネルギー消費性能誘導基準における設計一次エネルギー消費量（その他の設計一次エネルギー消費量を除く）[GJ/年]</t>
    <phoneticPr fontId="1"/>
  </si>
  <si>
    <t>E_T_rb_du_GJ_WO</t>
  </si>
  <si>
    <t>特定建築主基準における設計一次エネルギー消費量（その他の設計一次エネルギー消費量を除く）[GJ/年]</t>
    <phoneticPr fontId="1"/>
  </si>
  <si>
    <t>E_T_lcb_du_GJ_WO</t>
  </si>
  <si>
    <t>建築物に係るエネルギーの使用の合理化の一層の促進のために誘導すべき基準における設計一次エネルギー消費量（その他の設計一次エネルギー消費量を除く）[GJ/年]</t>
    <phoneticPr fontId="1"/>
  </si>
  <si>
    <t>判定
基準一次</t>
    <rPh sb="0" eb="2">
      <t>ハンテイ</t>
    </rPh>
    <rPh sb="3" eb="5">
      <t>キジュン</t>
    </rPh>
    <rPh sb="5" eb="7">
      <t>イチジ</t>
    </rPh>
    <phoneticPr fontId="1"/>
  </si>
  <si>
    <t>E_ST_gn_du_p_GJ</t>
  </si>
  <si>
    <t>建築物エネルギー消費性能基準（気候風土適応住宅を除く）における基準一次エネルギー消費量（平成28年4月1日時点で現存しない住宅）[GJ/年]</t>
    <phoneticPr fontId="1"/>
  </si>
  <si>
    <t>E_ST_gn_du_e_GJ</t>
  </si>
  <si>
    <t>建築物エネルギー消費性能基準（気候風土適応住宅を除く）における基準一次エネルギー消費量（平成28年4月1日時点で現存する住宅）[GJ/年]</t>
    <phoneticPr fontId="1"/>
  </si>
  <si>
    <t>E_ST_indc_du_p_GJ</t>
  </si>
  <si>
    <t>建築物エネルギー消費性能誘導基準における基準一次エネルギー消費量（令和4年10月1日時点で現存しない住宅）[GJ/年]</t>
    <phoneticPr fontId="1"/>
  </si>
  <si>
    <t>E_ST_indc_du_e_GJ</t>
  </si>
  <si>
    <t>建築物エネルギー消費性能誘導基準における基準一次エネルギー消費量（令和4年10月1日時点で現存する住宅）[GJ/年]</t>
    <phoneticPr fontId="1"/>
  </si>
  <si>
    <t>E_ST_lcb_du_p_GJ</t>
  </si>
  <si>
    <t>建築物に係るエネルギーの使用の合理化の一層の促進のために誘導すべき基準における基準一次エネルギー消費量（令和4年10月1日時点で現存しない住宅）[GJ/年]</t>
    <phoneticPr fontId="1"/>
  </si>
  <si>
    <t>E_ST_lcb_du_e_GJ</t>
  </si>
  <si>
    <t>建築物に係るエネルギーの使用の合理化の一層の促進のために誘導すべき基準における基準一次エネルギー消費量（令和4年10月1日時点で現存する住宅）[GJ/年]</t>
    <phoneticPr fontId="1"/>
  </si>
  <si>
    <t>E_ST_enh_du_GJ</t>
  </si>
  <si>
    <t>建築物の低炭素化の促進のために誘導すべきその他の基準における基準一次エネルギー消費量[GJ/年]</t>
    <phoneticPr fontId="1"/>
  </si>
  <si>
    <t>E_ST_gn_du_GJ_WO</t>
  </si>
  <si>
    <t>建築物エネルギー消費性能基準（気候風土適応住宅を除く）における基準一次エネルギー消費量（その他の基準一次エネルギー消費量を除く）[GJ/年]</t>
    <phoneticPr fontId="1"/>
  </si>
  <si>
    <t>E_ST_rb_du_GJ_WO</t>
  </si>
  <si>
    <t>特定建築主基準における基準一次エネルギー消費量（その他の基準一次エネルギー消費量を除く）[GJ/年]</t>
    <phoneticPr fontId="1"/>
  </si>
  <si>
    <t>判定
結果</t>
    <rPh sb="0" eb="2">
      <t>ハンテイ</t>
    </rPh>
    <rPh sb="3" eb="5">
      <t>ケッカ</t>
    </rPh>
    <phoneticPr fontId="1"/>
  </si>
  <si>
    <t>STATUS_gn_p</t>
  </si>
  <si>
    <t>建築物エネルギー消費性能基準（気候風土適応住宅を除く）における適合（平成28年4月1日時点で現存しない住宅）</t>
    <phoneticPr fontId="1"/>
  </si>
  <si>
    <t>STATUS_gn_e</t>
  </si>
  <si>
    <t>建築物エネルギー消費性能基準（気候風土適応住宅を除く）における適合（平成28年4月1日時点で現存する住宅）</t>
    <phoneticPr fontId="1"/>
  </si>
  <si>
    <t>STATUS_indc_p</t>
  </si>
  <si>
    <t>建築物エネルギー消費性能誘導基準における適合（令和4年10月1日時点で現存しない住宅）</t>
    <phoneticPr fontId="1"/>
  </si>
  <si>
    <t>STATUS_indc_e</t>
  </si>
  <si>
    <t>建築物エネルギー消費性能誘導基準における適合（令和4年10月1日時点で現存する住宅）</t>
    <phoneticPr fontId="1"/>
  </si>
  <si>
    <t>STATUS_lcb_p</t>
  </si>
  <si>
    <t>建築物に係るエネルギーの使用の合理化の一層の促進のために誘導すべき基準における適合（令和4年10月1日時点で現存しない住宅）</t>
    <phoneticPr fontId="1"/>
  </si>
  <si>
    <t>STATUS_lcb_e</t>
  </si>
  <si>
    <t>建築物に係るエネルギーの使用の合理化の一層の促進のために誘導すべき基準における適合（令和4年10月1日時点で現存する住宅）</t>
    <phoneticPr fontId="1"/>
  </si>
  <si>
    <t>STATUS_enh</t>
  </si>
  <si>
    <t>建築物の低炭素化の促進のために誘導すべきその他の基準における適合</t>
  </si>
  <si>
    <t>判定
BEI</t>
    <rPh sb="0" eb="2">
      <t>ハンテイ</t>
    </rPh>
    <phoneticPr fontId="1"/>
  </si>
  <si>
    <t>BEI_gn_du</t>
  </si>
  <si>
    <t>建築物エネルギー消費性能基準（気候風土適応住宅を除く）におけるBEI</t>
  </si>
  <si>
    <t>BEI_indc_du</t>
  </si>
  <si>
    <t>建築物エネルギー消費性能誘導基準におけるBEI</t>
  </si>
  <si>
    <t>BEI_rb_du</t>
  </si>
  <si>
    <t>特定建築主基準におけるにおけるBEI</t>
  </si>
  <si>
    <t>BEI_lcb_du</t>
  </si>
  <si>
    <t>建築物に係るエネルギーの使用の合理化の一層の促進のために誘導すべき基準におけるBEI</t>
    <phoneticPr fontId="1"/>
  </si>
  <si>
    <t>BEI_gn_rdu</t>
  </si>
  <si>
    <t>増改築部分を対象とした建築物エネルギー消費性能基準（気候風土適応住宅を除く）におけるBEI</t>
    <phoneticPr fontId="1"/>
  </si>
  <si>
    <t>設計二次
エネルギー
消費量
（参考値）</t>
    <rPh sb="0" eb="2">
      <t>セッケイ</t>
    </rPh>
    <rPh sb="2" eb="4">
      <t>ニジ</t>
    </rPh>
    <rPh sb="11" eb="14">
      <t>ショウヒリョウ</t>
    </rPh>
    <rPh sb="16" eb="18">
      <t>サンコウ</t>
    </rPh>
    <rPh sb="18" eb="19">
      <t>アタイ</t>
    </rPh>
    <phoneticPr fontId="1"/>
  </si>
  <si>
    <t>SE_E</t>
  </si>
  <si>
    <t>消費電力量[kWh/年]</t>
  </si>
  <si>
    <t>SE_G</t>
  </si>
  <si>
    <t>ガス消費量[MJ/年]</t>
  </si>
  <si>
    <t>SE_O</t>
  </si>
  <si>
    <t>灯油消費量[MJ/年]</t>
  </si>
  <si>
    <t>SE_G_CG_for_sell</t>
  </si>
  <si>
    <t>コージェネレーション設備の売電量に係るガス消費量の控除量[MJ/年]</t>
  </si>
  <si>
    <t>UPL</t>
  </si>
  <si>
    <t>未処理暖房負荷の設計一次エネルギー消費量相当値[MJ/年]</t>
  </si>
  <si>
    <t>その他</t>
    <rPh sb="2" eb="3">
      <t>タ</t>
    </rPh>
    <phoneticPr fontId="1"/>
  </si>
  <si>
    <t>ProgramName</t>
  </si>
  <si>
    <t>プログラム名</t>
  </si>
  <si>
    <t>ProgramVersion</t>
  </si>
  <si>
    <t>プログラムバージョン</t>
  </si>
  <si>
    <t>OutputDate</t>
  </si>
  <si>
    <t>出力日時</t>
  </si>
  <si>
    <t>error</t>
    <phoneticPr fontId="1"/>
  </si>
  <si>
    <t>エラーメッセージ</t>
  </si>
  <si>
    <t>タグ名</t>
    <phoneticPr fontId="1"/>
  </si>
  <si>
    <t>値</t>
    <phoneticPr fontId="1"/>
  </si>
  <si>
    <t>E_T_gn_du</t>
    <phoneticPr fontId="1"/>
  </si>
  <si>
    <t>E_T_indc_du</t>
    <phoneticPr fontId="1"/>
  </si>
  <si>
    <t>E_H</t>
    <phoneticPr fontId="1"/>
  </si>
  <si>
    <t>E_C</t>
    <phoneticPr fontId="1"/>
  </si>
  <si>
    <t>E_V</t>
    <phoneticPr fontId="1"/>
  </si>
  <si>
    <t>E_L</t>
    <phoneticPr fontId="1"/>
  </si>
  <si>
    <t>E_M</t>
    <phoneticPr fontId="1"/>
  </si>
  <si>
    <t>E_S_h</t>
    <phoneticPr fontId="1"/>
  </si>
  <si>
    <t>E_S_sell</t>
    <phoneticPr fontId="1"/>
  </si>
  <si>
    <t>E_S_PV_h</t>
    <phoneticPr fontId="1"/>
  </si>
  <si>
    <t>E_S_CG_h</t>
    <phoneticPr fontId="1"/>
  </si>
  <si>
    <t>E_PV_sell</t>
    <phoneticPr fontId="1"/>
  </si>
  <si>
    <t>E_PV_gen</t>
    <phoneticPr fontId="1"/>
  </si>
  <si>
    <t>E_CG_sell</t>
    <phoneticPr fontId="1"/>
  </si>
  <si>
    <t>E_CG_gen</t>
    <phoneticPr fontId="1"/>
  </si>
  <si>
    <t>U_A</t>
    <phoneticPr fontId="1"/>
  </si>
  <si>
    <t>ETA_AC</t>
    <phoneticPr fontId="1"/>
  </si>
  <si>
    <t>ETA_AH</t>
    <phoneticPr fontId="1"/>
  </si>
  <si>
    <t>E_ST</t>
    <phoneticPr fontId="1"/>
  </si>
  <si>
    <t>E_SH</t>
    <phoneticPr fontId="1"/>
  </si>
  <si>
    <t>E_SC</t>
    <phoneticPr fontId="1"/>
  </si>
  <si>
    <t>E_SV</t>
    <phoneticPr fontId="1"/>
  </si>
  <si>
    <t>E_SL</t>
    <phoneticPr fontId="1"/>
  </si>
  <si>
    <t>E_SW</t>
    <phoneticPr fontId="1"/>
  </si>
  <si>
    <t>E_SM</t>
    <phoneticPr fontId="1"/>
  </si>
  <si>
    <t>SE_E</t>
    <phoneticPr fontId="1"/>
  </si>
  <si>
    <t>SE_G</t>
    <phoneticPr fontId="1"/>
  </si>
  <si>
    <t>SE_O</t>
    <phoneticPr fontId="1"/>
  </si>
  <si>
    <t>SE_G_CG_for_sell</t>
    <phoneticPr fontId="1"/>
  </si>
  <si>
    <t>UPL</t>
    <phoneticPr fontId="1"/>
  </si>
  <si>
    <t>E_T_gn_du_GJ</t>
    <phoneticPr fontId="1"/>
  </si>
  <si>
    <t>E_T_indc_du_GJ</t>
    <phoneticPr fontId="1"/>
  </si>
  <si>
    <t>E_T_lcb_du_GJ</t>
    <phoneticPr fontId="1"/>
  </si>
  <si>
    <t>E_T_enh_du_GJ</t>
    <phoneticPr fontId="1"/>
  </si>
  <si>
    <t>E_T_gn_du_GJ_WO</t>
    <phoneticPr fontId="1"/>
  </si>
  <si>
    <t>E_T_indc_du_GJ_WO</t>
    <phoneticPr fontId="1"/>
  </si>
  <si>
    <t>E_T_rb_du_GJ_WO</t>
    <phoneticPr fontId="1"/>
  </si>
  <si>
    <t>E_T_lcb_du_GJ_WO</t>
    <phoneticPr fontId="1"/>
  </si>
  <si>
    <t>E_ST_gn_du_p_GJ</t>
    <phoneticPr fontId="1"/>
  </si>
  <si>
    <t>E_ST_gn_du_e_GJ</t>
    <phoneticPr fontId="1"/>
  </si>
  <si>
    <t>E_ST_indc_du_p_GJ</t>
    <phoneticPr fontId="1"/>
  </si>
  <si>
    <t>E_ST_indc_du_e_GJ</t>
    <phoneticPr fontId="1"/>
  </si>
  <si>
    <t>E_ST_lcb_du_p_GJ</t>
    <phoneticPr fontId="1"/>
  </si>
  <si>
    <t>E_ST_lcb_du_e_GJ</t>
    <phoneticPr fontId="1"/>
  </si>
  <si>
    <t>E_ST_enh_du_GJ</t>
    <phoneticPr fontId="1"/>
  </si>
  <si>
    <t>E_ST_gn_du_GJ_WO</t>
    <phoneticPr fontId="1"/>
  </si>
  <si>
    <t>E_ST_rb_du_GJ_WO</t>
    <phoneticPr fontId="1"/>
  </si>
  <si>
    <t>STATUS_gn_p</t>
    <phoneticPr fontId="1"/>
  </si>
  <si>
    <t>達成</t>
  </si>
  <si>
    <t>STATUS_gn_e</t>
    <phoneticPr fontId="1"/>
  </si>
  <si>
    <t>STATUS_indc_p</t>
    <phoneticPr fontId="1"/>
  </si>
  <si>
    <t>非達成</t>
  </si>
  <si>
    <t>STATUS_indc_e</t>
    <phoneticPr fontId="1"/>
  </si>
  <si>
    <t>STATUS_lcb_p</t>
    <phoneticPr fontId="1"/>
  </si>
  <si>
    <t>STATUS_lcb_e</t>
    <phoneticPr fontId="1"/>
  </si>
  <si>
    <t>STATUS_enh</t>
    <phoneticPr fontId="1"/>
  </si>
  <si>
    <t>BEI_gn_du</t>
    <phoneticPr fontId="1"/>
  </si>
  <si>
    <t>BEI_indc_du</t>
    <phoneticPr fontId="1"/>
  </si>
  <si>
    <t>BEI_rb_du</t>
    <phoneticPr fontId="1"/>
  </si>
  <si>
    <t>BEI_lcb_du</t>
    <phoneticPr fontId="1"/>
  </si>
  <si>
    <t>BEI_gn_rdu</t>
    <phoneticPr fontId="1"/>
  </si>
  <si>
    <t>ProgramName</t>
    <phoneticPr fontId="1"/>
  </si>
  <si>
    <t>住宅版</t>
  </si>
  <si>
    <t>ProgramVersion</t>
    <phoneticPr fontId="1"/>
  </si>
  <si>
    <t>OutputDate</t>
    <phoneticPr fontId="1"/>
  </si>
  <si>
    <t>リセットするセル</t>
    <phoneticPr fontId="1"/>
  </si>
  <si>
    <t>コージ101</t>
  </si>
  <si>
    <t>コージ201</t>
  </si>
  <si>
    <t>コージ202</t>
  </si>
  <si>
    <t>コージ203</t>
  </si>
  <si>
    <t>コージ204</t>
  </si>
  <si>
    <t>コージ205</t>
  </si>
  <si>
    <t>コージ301</t>
  </si>
  <si>
    <t>コージ302</t>
  </si>
  <si>
    <t>コージ303</t>
  </si>
  <si>
    <t>コージ304</t>
  </si>
  <si>
    <t>コージ305</t>
  </si>
  <si>
    <t>コージ306</t>
  </si>
  <si>
    <t>コージ307</t>
  </si>
  <si>
    <t>コージ308</t>
  </si>
  <si>
    <t>コージ309</t>
  </si>
  <si>
    <t>コージ310</t>
  </si>
  <si>
    <t>コージ311</t>
  </si>
  <si>
    <t>コージ312</t>
  </si>
  <si>
    <t>コージ313</t>
  </si>
  <si>
    <t>コージ314</t>
  </si>
  <si>
    <t>コージ315</t>
  </si>
  <si>
    <t>コージ316</t>
  </si>
  <si>
    <t>コージ317</t>
  </si>
  <si>
    <t>コージ318</t>
  </si>
  <si>
    <t>コージ319</t>
  </si>
  <si>
    <t>コージ320</t>
  </si>
  <si>
    <t>コージ321</t>
  </si>
  <si>
    <t>コージ322</t>
  </si>
  <si>
    <t>コージ323</t>
  </si>
  <si>
    <t>コージ324</t>
  </si>
  <si>
    <t>コージ325</t>
  </si>
  <si>
    <t>コージ326</t>
  </si>
  <si>
    <t>コージ327</t>
  </si>
  <si>
    <t>コージ328</t>
  </si>
  <si>
    <t>コージ201, コージ202, コージ203, コージ204, コージ205</t>
  </si>
  <si>
    <t>コージ201, コージ202, コージ203, コージ204, コージ205</t>
    <phoneticPr fontId="1"/>
  </si>
  <si>
    <t>不要なセル</t>
    <rPh sb="0" eb="2">
      <t>フヨウ</t>
    </rPh>
    <phoneticPr fontId="1"/>
  </si>
  <si>
    <t>コージ203</t>
    <phoneticPr fontId="1"/>
  </si>
  <si>
    <t>排熱利用方式</t>
  </si>
  <si>
    <t>排熱利用方式</t>
    <phoneticPr fontId="1"/>
  </si>
  <si>
    <t>給湯優先</t>
  </si>
  <si>
    <t>暖房優先</t>
  </si>
  <si>
    <t>コージ329</t>
    <phoneticPr fontId="1"/>
  </si>
  <si>
    <t>コージ325</t>
    <phoneticPr fontId="1"/>
  </si>
  <si>
    <t>コージュネ35</t>
  </si>
  <si>
    <t>3.10.0</t>
  </si>
  <si>
    <t>太陽光101</t>
    <rPh sb="0" eb="3">
      <t>タイヨウコウ</t>
    </rPh>
    <phoneticPr fontId="10"/>
  </si>
  <si>
    <t>太陽光102</t>
    <rPh sb="0" eb="3">
      <t>タイヨウコウ</t>
    </rPh>
    <phoneticPr fontId="10"/>
  </si>
  <si>
    <t>太陽光103</t>
    <rPh sb="0" eb="3">
      <t>タイヨウコウ</t>
    </rPh>
    <phoneticPr fontId="10"/>
  </si>
  <si>
    <t>太陽光104</t>
    <rPh sb="0" eb="3">
      <t>タイヨウコウ</t>
    </rPh>
    <phoneticPr fontId="10"/>
  </si>
  <si>
    <t>太陽光105</t>
    <rPh sb="0" eb="3">
      <t>タイヨウコウ</t>
    </rPh>
    <phoneticPr fontId="10"/>
  </si>
  <si>
    <t>太陽光201</t>
    <rPh sb="0" eb="3">
      <t>タイヨウコウ</t>
    </rPh>
    <phoneticPr fontId="10"/>
  </si>
  <si>
    <t>太陽光202</t>
    <rPh sb="0" eb="3">
      <t>タイヨウコウ</t>
    </rPh>
    <phoneticPr fontId="10"/>
  </si>
  <si>
    <t>太陽光203</t>
    <rPh sb="0" eb="3">
      <t>タイヨウコウ</t>
    </rPh>
    <phoneticPr fontId="10"/>
  </si>
  <si>
    <t>太陽光204</t>
    <rPh sb="0" eb="3">
      <t>タイヨウコウ</t>
    </rPh>
    <phoneticPr fontId="10"/>
  </si>
  <si>
    <t>太陽光205</t>
    <rPh sb="0" eb="3">
      <t>タイヨウコウ</t>
    </rPh>
    <phoneticPr fontId="10"/>
  </si>
  <si>
    <t>太陽光301</t>
    <rPh sb="0" eb="3">
      <t>タイヨウコウ</t>
    </rPh>
    <phoneticPr fontId="10"/>
  </si>
  <si>
    <t>太陽光302</t>
    <rPh sb="0" eb="3">
      <t>タイヨウコウ</t>
    </rPh>
    <phoneticPr fontId="10"/>
  </si>
  <si>
    <t>太陽光303</t>
    <rPh sb="0" eb="3">
      <t>タイヨウコウ</t>
    </rPh>
    <phoneticPr fontId="10"/>
  </si>
  <si>
    <t>太陽光304</t>
    <rPh sb="0" eb="3">
      <t>タイヨウコウ</t>
    </rPh>
    <phoneticPr fontId="10"/>
  </si>
  <si>
    <t>太陽光305</t>
    <rPh sb="0" eb="3">
      <t>タイヨウコウ</t>
    </rPh>
    <phoneticPr fontId="10"/>
  </si>
  <si>
    <t>太陽光401</t>
    <rPh sb="0" eb="3">
      <t>タイヨウコウ</t>
    </rPh>
    <phoneticPr fontId="10"/>
  </si>
  <si>
    <t>太陽光402</t>
    <rPh sb="0" eb="3">
      <t>タイヨウコウ</t>
    </rPh>
    <phoneticPr fontId="10"/>
  </si>
  <si>
    <t>太陽光403</t>
    <rPh sb="0" eb="3">
      <t>タイヨウコウ</t>
    </rPh>
    <phoneticPr fontId="10"/>
  </si>
  <si>
    <t>太陽光404</t>
    <rPh sb="0" eb="3">
      <t>タイヨウコウ</t>
    </rPh>
    <phoneticPr fontId="10"/>
  </si>
  <si>
    <t>太陽光405</t>
    <rPh sb="0" eb="3">
      <t>タイヨウコウ</t>
    </rPh>
    <phoneticPr fontId="10"/>
  </si>
  <si>
    <t>102, 103, 104, 201, 202, 203, 204, 205</t>
  </si>
  <si>
    <t>102, 103, 104, 201, 202, 203, 204, 205</t>
    <phoneticPr fontId="1"/>
  </si>
  <si>
    <t>-</t>
    <phoneticPr fontId="1"/>
  </si>
  <si>
    <t>103, 104, 201, 202, 203, 204, 205</t>
  </si>
  <si>
    <t>103, 104, 201, 202, 203, 204, 205</t>
    <phoneticPr fontId="1"/>
  </si>
  <si>
    <t>太陽光101, 太陽光102, 太陽光103, 太陽光104, 太陽光105, 太陽光201, 太陽光202, 太陽光203, 太陽光204, 太陽光205, 太陽光301, 太陽光302, 太陽光303, 太陽光304, 太陽光305, 太陽光401, 太陽光402, 太陽光403, 太陽光404, 太陽光405</t>
  </si>
  <si>
    <t>太陽光101, 太陽光102, 太陽光103, 太陽光104, 太陽光105</t>
    <phoneticPr fontId="1"/>
  </si>
  <si>
    <t>太陽光101, 太陽光102, 太陽光103, 太陽光104, 太陽光105, 太陽光201, 太陽光202, 太陽光203, 太陽光204, 太陽光205</t>
    <phoneticPr fontId="1"/>
  </si>
  <si>
    <t>太陽光101, 太陽光102, 太陽光103, 太陽光104, 太陽光105, 太陽光201, 太陽光202, 太陽光203, 太陽光204, 太陽光205, 太陽光301, 太陽光302, 太陽光303, 太陽光304, 太陽光305</t>
    <phoneticPr fontId="1"/>
  </si>
  <si>
    <t>太陽光101, 太陽光102, 太陽光103, 太陽光104, 太陽光105, 太陽光201, 太陽光202, 太陽光203, 太陽光204, 太陽光205, 太陽光301, 太陽光302, 太陽光303, 太陽光304, 太陽光305, 太陽光401, 太陽光402, 太陽光403, 太陽光404, 太陽光405</t>
    <phoneticPr fontId="1"/>
  </si>
  <si>
    <t>属性</t>
    <rPh sb="0" eb="2">
      <t>ゾクセイ</t>
    </rPh>
    <phoneticPr fontId="1"/>
  </si>
  <si>
    <t>House</t>
  </si>
  <si>
    <t>Type</t>
  </si>
  <si>
    <t>子要素</t>
    <rPh sb="0" eb="3">
      <t>コヨウソ</t>
    </rPh>
    <phoneticPr fontId="1"/>
  </si>
  <si>
    <t>Standard,Apartment</t>
  </si>
  <si>
    <t>主たる居室とその他の居室、非居室で構成される</t>
    <phoneticPr fontId="1"/>
  </si>
  <si>
    <t>Area</t>
    <phoneticPr fontId="1"/>
  </si>
  <si>
    <t>DRシート</t>
    <phoneticPr fontId="1"/>
  </si>
  <si>
    <t>選択肢はAPIリクエストの値にしたい</t>
    <rPh sb="0" eb="3">
      <t>センタクシ</t>
    </rPh>
    <rPh sb="13" eb="14">
      <t>アタイ</t>
    </rPh>
    <phoneticPr fontId="1"/>
  </si>
  <si>
    <t>基本設定～コージェ のどこまで細かく設定するか？</t>
  </si>
  <si>
    <t>入力シート</t>
    <rPh sb="0" eb="2">
      <t>ニュウリョク</t>
    </rPh>
    <phoneticPr fontId="1"/>
  </si>
  <si>
    <t>APIリクエスト</t>
    <phoneticPr fontId="1"/>
  </si>
  <si>
    <t>APIレスポンス</t>
    <phoneticPr fontId="1"/>
  </si>
  <si>
    <t>出力シート</t>
    <rPh sb="0" eb="2">
      <t>シュツリョク</t>
    </rPh>
    <phoneticPr fontId="1"/>
  </si>
  <si>
    <t>ファイル管理</t>
    <rPh sb="4" eb="6">
      <t>カンリ</t>
    </rPh>
    <phoneticPr fontId="1"/>
  </si>
  <si>
    <t>01_基本情報～11_コージェネ のシートを削除した（打ち合わせで承認頂いたため）</t>
    <rPh sb="22" eb="24">
      <t>サクジョ</t>
    </rPh>
    <rPh sb="27" eb="28">
      <t>ウ</t>
    </rPh>
    <rPh sb="29" eb="30">
      <t>ア</t>
    </rPh>
    <rPh sb="33" eb="35">
      <t>ショウニン</t>
    </rPh>
    <rPh sb="35" eb="36">
      <t>イタダ</t>
    </rPh>
    <phoneticPr fontId="1"/>
  </si>
  <si>
    <t>SpecStandard</t>
  </si>
  <si>
    <t>IndcSpecStandard</t>
  </si>
  <si>
    <t>IndcSpecStandardForRenovationPart</t>
  </si>
  <si>
    <t>HeatStorage</t>
  </si>
  <si>
    <t>Envelope</t>
  </si>
  <si>
    <t>NaturalWind</t>
  </si>
  <si>
    <t>UnderFloorVentilation</t>
  </si>
  <si>
    <t>AlwaysOn</t>
  </si>
  <si>
    <t>UnderFloorVentilationAreaRate</t>
  </si>
  <si>
    <t>Insulated</t>
  </si>
  <si>
    <t>VBA</t>
  </si>
  <si>
    <t>VBA</t>
    <phoneticPr fontId="1"/>
  </si>
  <si>
    <t>セル値を取り出す処理を作成</t>
    <rPh sb="2" eb="3">
      <t>アタイ</t>
    </rPh>
    <rPh sb="4" eb="5">
      <t>ト</t>
    </rPh>
    <rPh sb="6" eb="7">
      <t>ダ</t>
    </rPh>
    <rPh sb="8" eb="10">
      <t>ショリ</t>
    </rPh>
    <rPh sb="11" eb="13">
      <t>サクセイ</t>
    </rPh>
    <phoneticPr fontId="1"/>
  </si>
  <si>
    <t>処理の流れ</t>
    <rPh sb="0" eb="2">
      <t>ショリ</t>
    </rPh>
    <rPh sb="3" eb="4">
      <t>ナガ</t>
    </rPh>
    <phoneticPr fontId="1"/>
  </si>
  <si>
    <t>基本05, 基本08, 基本09, 基本10</t>
  </si>
  <si>
    <t>基本06, 基本07, 基本08, 基本09, 基本10, 基本11, 基本12</t>
  </si>
  <si>
    <t>基本06, 基本07</t>
  </si>
  <si>
    <t>基本08, 基本09, 基本10</t>
  </si>
  <si>
    <t>基本09</t>
  </si>
  <si>
    <t>Rulesシートの参照を中止（Settingsで管理）</t>
    <rPh sb="9" eb="11">
      <t>サンショウ</t>
    </rPh>
    <rPh sb="12" eb="14">
      <t>チュウシ</t>
    </rPh>
    <rPh sb="24" eb="26">
      <t>カンリ</t>
    </rPh>
    <phoneticPr fontId="1"/>
  </si>
  <si>
    <t>シート名はアクティブシートにせず、シート名を指定する方が無難（誤操作エラーをなくす）</t>
    <rPh sb="3" eb="4">
      <t>メイ</t>
    </rPh>
    <rPh sb="20" eb="21">
      <t>メイ</t>
    </rPh>
    <rPh sb="22" eb="24">
      <t>シテイ</t>
    </rPh>
    <rPh sb="26" eb="27">
      <t>ホウ</t>
    </rPh>
    <rPh sb="28" eb="30">
      <t>ブナン</t>
    </rPh>
    <rPh sb="31" eb="34">
      <t>ゴソウサ</t>
    </rPh>
    <phoneticPr fontId="1"/>
  </si>
  <si>
    <t>999</t>
  </si>
  <si>
    <t>999</t>
    <phoneticPr fontId="1"/>
  </si>
  <si>
    <t>選択値（ウエブ）</t>
    <rPh sb="0" eb="2">
      <t>センタク</t>
    </rPh>
    <rPh sb="2" eb="3">
      <t>アタイ</t>
    </rPh>
    <phoneticPr fontId="1"/>
  </si>
  <si>
    <t>選択値（API）</t>
    <rPh sb="0" eb="2">
      <t>センタク</t>
    </rPh>
    <rPh sb="2" eb="3">
      <t>アタイ</t>
    </rPh>
    <phoneticPr fontId="1"/>
  </si>
  <si>
    <t>Standard,Independent</t>
    <phoneticPr fontId="1"/>
  </si>
  <si>
    <t>EvaluationMethod</t>
    <phoneticPr fontId="1"/>
  </si>
  <si>
    <t>A1</t>
    <phoneticPr fontId="1"/>
  </si>
  <si>
    <t>A2</t>
    <phoneticPr fontId="1"/>
  </si>
  <si>
    <t>A3</t>
    <phoneticPr fontId="1"/>
  </si>
  <si>
    <t>A4</t>
    <phoneticPr fontId="1"/>
  </si>
  <si>
    <t>A5</t>
    <phoneticPr fontId="1"/>
  </si>
  <si>
    <t>基本13</t>
  </si>
  <si>
    <t>住宅タイプの名称</t>
    <phoneticPr fontId="1"/>
  </si>
  <si>
    <t>セル色の変更：基本情報 済み</t>
    <rPh sb="2" eb="3">
      <t>イロ</t>
    </rPh>
    <rPh sb="4" eb="6">
      <t>ヘンコウ</t>
    </rPh>
    <rPh sb="7" eb="11">
      <t>キホンジョウホウ</t>
    </rPh>
    <rPh sb="12" eb="13">
      <t>スミ</t>
    </rPh>
    <phoneticPr fontId="1"/>
  </si>
  <si>
    <t>外皮02, 外皮03, 外皮04, 外皮05, 外皮06, 外皮07, 外皮08, 外皮09</t>
  </si>
  <si>
    <t>外皮02, 外皮03, 外皮04, 外皮05</t>
  </si>
  <si>
    <t>外皮10, 外皮11</t>
  </si>
  <si>
    <t>セル色の変更：外皮 済み</t>
    <rPh sb="2" eb="3">
      <t>イロ</t>
    </rPh>
    <rPh sb="4" eb="6">
      <t>ヘンコウ</t>
    </rPh>
    <rPh sb="7" eb="9">
      <t>ガイヒ</t>
    </rPh>
    <rPh sb="10" eb="11">
      <t>スミ</t>
    </rPh>
    <phoneticPr fontId="1"/>
  </si>
  <si>
    <t>暖房02, 暖房03, 暖房19, 暖房20, 暖房42, 暖房43, 暖房44, 暖房45, 暖房46</t>
  </si>
  <si>
    <t>暖房42, 暖房43, 暖房44, 暖房45, 暖房46</t>
  </si>
  <si>
    <t>暖房02, 暖房03, 暖房19, 暖房20</t>
  </si>
  <si>
    <t>Heating</t>
  </si>
  <si>
    <t>Heating</t>
    <phoneticPr fontId="1"/>
  </si>
  <si>
    <t>Type</t>
    <phoneticPr fontId="1"/>
  </si>
  <si>
    <t>NotInstalled</t>
  </si>
  <si>
    <t>Central</t>
  </si>
  <si>
    <t>基準値の算定において想定される機器（増改築部分を対象に評価する場合の基準設定仕様）</t>
    <phoneticPr fontId="1"/>
  </si>
  <si>
    <t>FFHeating</t>
  </si>
  <si>
    <t>ElectricRoomHeaterWithThermalStorage</t>
  </si>
  <si>
    <t>ElectricFloorHeating</t>
  </si>
  <si>
    <t>FloorHeatingWithRAC</t>
  </si>
  <si>
    <t>HotWaterFloorHeatingRadiator</t>
  </si>
  <si>
    <t>PanelRadiator</t>
  </si>
  <si>
    <t>FanConvectorRadiator</t>
  </si>
  <si>
    <t>PelletStove</t>
  </si>
  <si>
    <t>OtherHeatingDevice</t>
  </si>
  <si>
    <t>StandardSettingSpecHeating</t>
  </si>
  <si>
    <t>None</t>
    <phoneticPr fontId="1"/>
  </si>
  <si>
    <t>入力しない（規定値を用いる）</t>
    <phoneticPr fontId="1"/>
  </si>
  <si>
    <t>エネルギー消費効率の入力_主たる居室</t>
    <phoneticPr fontId="1"/>
  </si>
  <si>
    <t>ElectricHeatPumpCentralHeating</t>
  </si>
  <si>
    <t>Installed</t>
  </si>
  <si>
    <t>VAV</t>
  </si>
  <si>
    <t>Duct</t>
  </si>
  <si>
    <t>NotAllInsulatedCompartment</t>
  </si>
  <si>
    <t>AllInsulatedCompartment</t>
  </si>
  <si>
    <t>AllInsulatedCompartment</t>
    <phoneticPr fontId="1"/>
  </si>
  <si>
    <t>NotAllInsulatedCompartment</t>
    <phoneticPr fontId="1"/>
  </si>
  <si>
    <t>GeneralVentilation</t>
  </si>
  <si>
    <t>InputSpec</t>
  </si>
  <si>
    <t>NotInput</t>
  </si>
  <si>
    <t>InputRatedOnly</t>
  </si>
  <si>
    <t>InputRatedAndMiddle</t>
  </si>
  <si>
    <t>RatedPower</t>
  </si>
  <si>
    <t>RatedCapacity</t>
  </si>
  <si>
    <t>RatedAirVolume</t>
  </si>
  <si>
    <t>RatedFanPower</t>
  </si>
  <si>
    <t>MiddleCapacity</t>
  </si>
  <si>
    <t>MiddlePower</t>
  </si>
  <si>
    <t>MiddleAirVolume</t>
  </si>
  <si>
    <t>MiddleFanPower</t>
  </si>
  <si>
    <t>InputDesignAirVolume</t>
  </si>
  <si>
    <t>Input</t>
  </si>
  <si>
    <t>DesignAirVolume</t>
  </si>
  <si>
    <t>ダクト式セントラル空調機（ヒートポンプ式熱源）</t>
    <phoneticPr fontId="1"/>
  </si>
  <si>
    <t>（その他の冷房設備機器の名称）</t>
    <phoneticPr fontId="1"/>
  </si>
  <si>
    <t>区分（い）</t>
    <phoneticPr fontId="1"/>
  </si>
  <si>
    <t>区分（ろ）</t>
  </si>
  <si>
    <t>区分（ろ）</t>
    <phoneticPr fontId="1"/>
  </si>
  <si>
    <t>区分（は）</t>
  </si>
  <si>
    <t>区分（は）</t>
    <phoneticPr fontId="1"/>
  </si>
  <si>
    <t>RO</t>
  </si>
  <si>
    <t>HA</t>
  </si>
  <si>
    <t>20.0</t>
  </si>
  <si>
    <t>30.0</t>
  </si>
  <si>
    <t>50.0</t>
  </si>
  <si>
    <t>60.0</t>
  </si>
  <si>
    <t>70.0</t>
  </si>
  <si>
    <t>80.0</t>
  </si>
  <si>
    <t>90.0</t>
  </si>
  <si>
    <t>100.0</t>
  </si>
  <si>
    <t>70</t>
  </si>
  <si>
    <t>80</t>
  </si>
  <si>
    <t>90</t>
  </si>
  <si>
    <t>100</t>
  </si>
  <si>
    <t>21.0</t>
  </si>
  <si>
    <t>31.0</t>
  </si>
  <si>
    <t>41.0</t>
  </si>
  <si>
    <t>51.0</t>
  </si>
  <si>
    <t>61.0</t>
  </si>
  <si>
    <t>71.0</t>
  </si>
  <si>
    <t>81.0</t>
  </si>
  <si>
    <t>91.0</t>
  </si>
  <si>
    <t>Compressor</t>
  </si>
  <si>
    <t>LowPowerMode</t>
  </si>
  <si>
    <t>NotEvaluate</t>
  </si>
  <si>
    <t>Evaluate</t>
  </si>
  <si>
    <t>UpwardHeatFlowRate</t>
  </si>
  <si>
    <t>InputOpenCeilingSpace</t>
  </si>
  <si>
    <t>AreaRateWithoutOpenCeilingSpace</t>
  </si>
  <si>
    <t>敷設率の入力_主たる居室</t>
    <phoneticPr fontId="1"/>
  </si>
  <si>
    <t>敷設率_主たる居室</t>
    <phoneticPr fontId="1"/>
  </si>
  <si>
    <t>Pipe</t>
  </si>
  <si>
    <t>Capacity</t>
  </si>
  <si>
    <t>IgnitionEnergy</t>
  </si>
  <si>
    <t>SteadyPower</t>
  </si>
  <si>
    <t>Efficiency</t>
    <phoneticPr fontId="1"/>
  </si>
  <si>
    <t>type</t>
  </si>
  <si>
    <t>type</t>
    <phoneticPr fontId="1"/>
  </si>
  <si>
    <t>電気ヒートポンプ温水暖房機（フロン系冷媒）</t>
    <phoneticPr fontId="1"/>
  </si>
  <si>
    <t>GasClassic</t>
  </si>
  <si>
    <t>GasLatentHeatRecovery</t>
  </si>
  <si>
    <t>OilClassic</t>
  </si>
  <si>
    <t>OilLatentHeatRecovery</t>
  </si>
  <si>
    <t>ElectricHeater</t>
  </si>
  <si>
    <t>GeothermalHeatPump</t>
  </si>
  <si>
    <t>Integrated</t>
  </si>
  <si>
    <t>Cogeneration</t>
  </si>
  <si>
    <t>Other</t>
  </si>
  <si>
    <t>StandardSettingSpec</t>
  </si>
  <si>
    <t>NotUsed</t>
  </si>
  <si>
    <t>Settings</t>
    <phoneticPr fontId="1"/>
  </si>
  <si>
    <t>暖房の途中まで（要素・属性・値）</t>
    <rPh sb="0" eb="2">
      <t>ダンボウ</t>
    </rPh>
    <rPh sb="3" eb="5">
      <t>トチュウ</t>
    </rPh>
    <rPh sb="8" eb="10">
      <t>ヨウソ</t>
    </rPh>
    <rPh sb="11" eb="13">
      <t>ゾクセイ</t>
    </rPh>
    <rPh sb="14" eb="15">
      <t>アタイ</t>
    </rPh>
    <phoneticPr fontId="1"/>
  </si>
  <si>
    <t>セルが変更されるーApplyRules</t>
    <rPh sb="3" eb="5">
      <t>ヘンコウ</t>
    </rPh>
    <phoneticPr fontId="1"/>
  </si>
  <si>
    <t>APIリクエストを作成する</t>
    <rPh sb="9" eb="11">
      <t>サクセイ</t>
    </rPh>
    <phoneticPr fontId="1"/>
  </si>
  <si>
    <t>色設定なしのセルを返す－DisplayUncoloredCellsInColumn</t>
    <rPh sb="0" eb="3">
      <t>イロセッテイ</t>
    </rPh>
    <rPh sb="9" eb="10">
      <t>カエ</t>
    </rPh>
    <phoneticPr fontId="1"/>
  </si>
  <si>
    <t>True/Falseの場合はスキップする</t>
    <rPh sb="11" eb="13">
      <t>バアイ</t>
    </rPh>
    <phoneticPr fontId="1"/>
  </si>
  <si>
    <t>リクエストに不要な要素を処理対象から外せる</t>
    <rPh sb="6" eb="8">
      <t>フヨウ</t>
    </rPh>
    <rPh sb="9" eb="11">
      <t>ヨウソ</t>
    </rPh>
    <rPh sb="12" eb="14">
      <t>ショリ</t>
    </rPh>
    <rPh sb="14" eb="16">
      <t>タイショウ</t>
    </rPh>
    <rPh sb="18" eb="19">
      <t>ハズ</t>
    </rPh>
    <phoneticPr fontId="1"/>
  </si>
  <si>
    <t>課題</t>
    <rPh sb="0" eb="2">
      <t>カダイ</t>
    </rPh>
    <phoneticPr fontId="1"/>
  </si>
  <si>
    <t>どの要素の計算にするのか、マスターシートに設定が必要</t>
    <rPh sb="2" eb="4">
      <t>ヨウソ</t>
    </rPh>
    <rPh sb="5" eb="7">
      <t>ケイサン</t>
    </rPh>
    <rPh sb="21" eb="23">
      <t>セッテイ</t>
    </rPh>
    <rPh sb="24" eb="26">
      <t>ヒツヨウ</t>
    </rPh>
    <phoneticPr fontId="1"/>
  </si>
  <si>
    <t>対象要素</t>
    <rPh sb="0" eb="2">
      <t>タイショウ</t>
    </rPh>
    <rPh sb="2" eb="4">
      <t>ヨウソ</t>
    </rPh>
    <phoneticPr fontId="1"/>
  </si>
  <si>
    <t>Zones</t>
  </si>
  <si>
    <t>Environment</t>
  </si>
  <si>
    <t>Region</t>
  </si>
  <si>
    <t>AnnualSolarLevel</t>
  </si>
  <si>
    <t>対象要素を取得する</t>
    <rPh sb="0" eb="2">
      <t>タイショウ</t>
    </rPh>
    <rPh sb="2" eb="4">
      <t>ヨウソ</t>
    </rPh>
    <rPh sb="5" eb="7">
      <t>シュトク</t>
    </rPh>
    <phoneticPr fontId="1"/>
  </si>
  <si>
    <t>対象要素の子要素か判定する</t>
    <rPh sb="0" eb="4">
      <t>タイショウヨウソ</t>
    </rPh>
    <rPh sb="5" eb="8">
      <t>コヨウソ</t>
    </rPh>
    <rPh sb="9" eb="11">
      <t>ハンテイ</t>
    </rPh>
    <phoneticPr fontId="1"/>
  </si>
  <si>
    <t>属性を取得する</t>
    <rPh sb="0" eb="2">
      <t>ゾクセイ</t>
    </rPh>
    <rPh sb="3" eb="5">
      <t>シュトク</t>
    </rPh>
    <phoneticPr fontId="1"/>
  </si>
  <si>
    <t>値を代入する</t>
    <rPh sb="0" eb="1">
      <t>アタイ</t>
    </rPh>
    <rPh sb="2" eb="4">
      <t>ダイニュウ</t>
    </rPh>
    <phoneticPr fontId="1"/>
  </si>
  <si>
    <t>処理</t>
    <rPh sb="0" eb="2">
      <t>ショリ</t>
    </rPh>
    <phoneticPr fontId="1"/>
  </si>
  <si>
    <t>対象要素があるか</t>
    <rPh sb="0" eb="2">
      <t>タイショウ</t>
    </rPh>
    <rPh sb="2" eb="4">
      <t>ヨウソ</t>
    </rPh>
    <phoneticPr fontId="1"/>
  </si>
  <si>
    <t>ある</t>
    <phoneticPr fontId="1"/>
  </si>
  <si>
    <t>ない</t>
    <phoneticPr fontId="1"/>
  </si>
  <si>
    <t>子要素があるか</t>
    <rPh sb="0" eb="3">
      <t>コヨウソ</t>
    </rPh>
    <phoneticPr fontId="1"/>
  </si>
  <si>
    <t>スキップ</t>
    <phoneticPr fontId="1"/>
  </si>
  <si>
    <t>親要素ー属性ー値</t>
    <rPh sb="0" eb="3">
      <t>オヤヨウソ</t>
    </rPh>
    <rPh sb="4" eb="6">
      <t>ゾクセイ</t>
    </rPh>
    <rPh sb="7" eb="8">
      <t>アタイ</t>
    </rPh>
    <phoneticPr fontId="1"/>
  </si>
  <si>
    <t>マスターシートを指定</t>
    <rPh sb="8" eb="10">
      <t>シテイ</t>
    </rPh>
    <phoneticPr fontId="1"/>
  </si>
  <si>
    <t>マスターシートの最終行を取得</t>
    <rPh sb="8" eb="11">
      <t>サイシュウギョウ</t>
    </rPh>
    <rPh sb="12" eb="14">
      <t>シュトク</t>
    </rPh>
    <phoneticPr fontId="1"/>
  </si>
  <si>
    <t>入力シートを指定</t>
    <rPh sb="0" eb="2">
      <t>ニュウリョク</t>
    </rPh>
    <rPh sb="6" eb="8">
      <t>シテイ</t>
    </rPh>
    <phoneticPr fontId="1"/>
  </si>
  <si>
    <t>入力シートの最終行を取得</t>
    <rPh sb="0" eb="2">
      <t>ニュウリョク</t>
    </rPh>
    <rPh sb="6" eb="9">
      <t>サイシュウギョウ</t>
    </rPh>
    <rPh sb="10" eb="12">
      <t>シュトク</t>
    </rPh>
    <phoneticPr fontId="1"/>
  </si>
  <si>
    <t>マスターシートへ照合する</t>
    <rPh sb="8" eb="10">
      <t>ショウゴウ</t>
    </rPh>
    <phoneticPr fontId="1"/>
  </si>
  <si>
    <t>入力シートの処理対象のセルを順番に取得</t>
    <rPh sb="0" eb="2">
      <t>ニュウリョク</t>
    </rPh>
    <rPh sb="6" eb="10">
      <t>ショリタイショウ</t>
    </rPh>
    <rPh sb="14" eb="16">
      <t>ジュンバン</t>
    </rPh>
    <rPh sb="17" eb="19">
      <t>シュトク</t>
    </rPh>
    <phoneticPr fontId="1"/>
  </si>
  <si>
    <t>対象の要素を含める</t>
    <rPh sb="0" eb="2">
      <t>タイショウ</t>
    </rPh>
    <rPh sb="3" eb="5">
      <t>ヨウソ</t>
    </rPh>
    <rPh sb="6" eb="7">
      <t>フク</t>
    </rPh>
    <phoneticPr fontId="1"/>
  </si>
  <si>
    <t>セル色が設定ナシ</t>
    <rPh sb="2" eb="3">
      <t>イロ</t>
    </rPh>
    <rPh sb="4" eb="6">
      <t>セッテイ</t>
    </rPh>
    <phoneticPr fontId="1"/>
  </si>
  <si>
    <t>入力シートのセルの検索値を作成⇒ 番号+属性値 ※新規作成</t>
    <rPh sb="0" eb="2">
      <t>ニュウリョク</t>
    </rPh>
    <rPh sb="9" eb="11">
      <t>ケンサク</t>
    </rPh>
    <rPh sb="11" eb="12">
      <t>アタイ</t>
    </rPh>
    <rPh sb="13" eb="15">
      <t>サクセイ</t>
    </rPh>
    <rPh sb="17" eb="19">
      <t>バンゴウ</t>
    </rPh>
    <rPh sb="20" eb="23">
      <t>ゾクセイチ</t>
    </rPh>
    <rPh sb="25" eb="29">
      <t>シンキサクセイ</t>
    </rPh>
    <phoneticPr fontId="1"/>
  </si>
  <si>
    <r>
      <t>親要素ー</t>
    </r>
    <r>
      <rPr>
        <sz val="11"/>
        <color rgb="FFFF0000"/>
        <rFont val="Meiryo UI"/>
        <family val="3"/>
        <charset val="128"/>
      </rPr>
      <t>子要素</t>
    </r>
    <r>
      <rPr>
        <sz val="11"/>
        <color theme="1"/>
        <rFont val="Meiryo UI"/>
        <family val="3"/>
        <charset val="128"/>
      </rPr>
      <t>ー属性ー値</t>
    </r>
    <rPh sb="0" eb="3">
      <t>オヤヨウソ</t>
    </rPh>
    <rPh sb="4" eb="7">
      <t>コヨウソ</t>
    </rPh>
    <rPh sb="8" eb="10">
      <t>ゾクセイ</t>
    </rPh>
    <rPh sb="11" eb="12">
      <t>アタイ</t>
    </rPh>
    <phoneticPr fontId="1"/>
  </si>
  <si>
    <t>Environment要素</t>
  </si>
  <si>
    <t>Zones/Zone要素</t>
  </si>
  <si>
    <t>Envelope要素</t>
  </si>
  <si>
    <t>Heating要素</t>
  </si>
  <si>
    <t>Cooling要素</t>
  </si>
  <si>
    <t>Ventilation要素</t>
  </si>
  <si>
    <t>Hotwater要素</t>
  </si>
  <si>
    <t>Lighting/LightingZone要素</t>
  </si>
  <si>
    <t>Photovoltaic要素</t>
  </si>
  <si>
    <t>AirBasedSolarSystem要素</t>
  </si>
  <si>
    <t>CogenerationUnit要素</t>
  </si>
  <si>
    <t>House要素</t>
    <phoneticPr fontId="1"/>
  </si>
  <si>
    <t>ID番号の通し番号を見直し、接頭辞を付けた（漏れが発生した時の対応）</t>
    <rPh sb="2" eb="4">
      <t>バンゴウ</t>
    </rPh>
    <rPh sb="5" eb="6">
      <t>トオ</t>
    </rPh>
    <rPh sb="7" eb="9">
      <t>バンゴウ</t>
    </rPh>
    <rPh sb="10" eb="12">
      <t>ミナオ</t>
    </rPh>
    <rPh sb="14" eb="17">
      <t>セットウジ</t>
    </rPh>
    <rPh sb="18" eb="19">
      <t>ツ</t>
    </rPh>
    <rPh sb="22" eb="23">
      <t>モ</t>
    </rPh>
    <rPh sb="25" eb="27">
      <t>ハッセイ</t>
    </rPh>
    <rPh sb="29" eb="30">
      <t>トキ</t>
    </rPh>
    <rPh sb="31" eb="33">
      <t>タイオウ</t>
    </rPh>
    <phoneticPr fontId="1"/>
  </si>
  <si>
    <t>チップス</t>
    <phoneticPr fontId="1"/>
  </si>
  <si>
    <t>選択されたセルの一番上の値をコピー⇒ ctrl ＋ D</t>
    <rPh sb="0" eb="2">
      <t>センタク</t>
    </rPh>
    <rPh sb="8" eb="11">
      <t>イチバンウエ</t>
    </rPh>
    <rPh sb="12" eb="13">
      <t>アタイ</t>
    </rPh>
    <phoneticPr fontId="1"/>
  </si>
  <si>
    <t>GH01</t>
  </si>
  <si>
    <t>GH05</t>
  </si>
  <si>
    <t>GH06</t>
  </si>
  <si>
    <t>GH08</t>
  </si>
  <si>
    <t>GH10</t>
  </si>
  <si>
    <t>GH12</t>
  </si>
  <si>
    <t>GH15</t>
  </si>
  <si>
    <t>GH18</t>
  </si>
  <si>
    <t>GH20</t>
  </si>
  <si>
    <t>GH22</t>
  </si>
  <si>
    <t>GH32</t>
  </si>
  <si>
    <t>外皮性能の評価方法</t>
    <phoneticPr fontId="1"/>
  </si>
  <si>
    <t>注意</t>
    <rPh sb="0" eb="2">
      <t>チュウイ</t>
    </rPh>
    <phoneticPr fontId="1"/>
  </si>
  <si>
    <t>セル入力の場合は、照合できない</t>
    <rPh sb="2" eb="4">
      <t>ニュウリョク</t>
    </rPh>
    <rPh sb="5" eb="7">
      <t>バアイ</t>
    </rPh>
    <rPh sb="9" eb="11">
      <t>ショウゴウ</t>
    </rPh>
    <phoneticPr fontId="1"/>
  </si>
  <si>
    <t>KHN01</t>
  </si>
  <si>
    <t>KHN02</t>
  </si>
  <si>
    <t>KHN03</t>
  </si>
  <si>
    <t>KHN05</t>
  </si>
  <si>
    <t>KHN07</t>
  </si>
  <si>
    <t>KHN09</t>
  </si>
  <si>
    <t>KHN11</t>
  </si>
  <si>
    <t>KHN13</t>
  </si>
  <si>
    <t>KHN14</t>
  </si>
  <si>
    <t>KHN15</t>
  </si>
  <si>
    <t>KHN16</t>
  </si>
  <si>
    <t>KHN24</t>
  </si>
  <si>
    <t>KHN26</t>
  </si>
  <si>
    <t>LDK</t>
  </si>
  <si>
    <t>LDK</t>
    <phoneticPr fontId="1"/>
  </si>
  <si>
    <t>Other</t>
    <phoneticPr fontId="1"/>
  </si>
  <si>
    <t>Zone1</t>
  </si>
  <si>
    <t>Zone1</t>
    <phoneticPr fontId="1"/>
  </si>
  <si>
    <t>Zone2</t>
  </si>
  <si>
    <t>Zone2</t>
    <phoneticPr fontId="1"/>
  </si>
  <si>
    <t>Zones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</si>
</sst>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_ "/>
    <numFmt numFmtId="177" formatCode="\_xd83d_\_xdd3d_\ @"/>
    <numFmt numFmtId="178" formatCode="0_ "/>
    <numFmt numFmtId="179" formatCode="yy/mm/dd"/>
    <numFmt numFmtId="180" formatCode="m/dd\ aaa"/>
    <numFmt numFmtId="181" formatCode="000"/>
  </numFmts>
  <fonts count="21"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sz val="10"/>
      <name val="游ゴシック"/>
      <family val="3"/>
      <charset val="128"/>
      <scheme val="minor"/>
    </font>
    <font>
      <b/>
      <sz val="10"/>
      <color theme="1"/>
      <name val="游ゴシック"/>
      <family val="3"/>
      <charset val="128"/>
      <scheme val="minor"/>
    </font>
    <font>
      <sz val="9"/>
      <color indexed="81"/>
      <name val="游ゴシック"/>
      <family val="3"/>
      <charset val="128"/>
      <scheme val="minor"/>
    </font>
    <font>
      <sz val="11"/>
      <color rgb="FFFF0000"/>
      <name val="游ゴシック"/>
      <family val="2"/>
      <charset val="128"/>
      <scheme val="minor"/>
    </font>
    <font>
      <sz val="11"/>
      <color theme="1"/>
      <name val="Meiryo UI"/>
      <family val="3"/>
      <charset val="128"/>
    </font>
    <font>
      <b/>
      <sz val="9"/>
      <color theme="3" tint="9.9978637043366805E-2"/>
      <name val="游ゴシック"/>
      <family val="3"/>
      <charset val="128"/>
      <scheme val="minor"/>
    </font>
    <font>
      <sz val="9"/>
      <color theme="1"/>
      <name val="游ゴシック"/>
      <family val="3"/>
      <charset val="128"/>
      <scheme val="minor"/>
    </font>
    <font>
      <sz val="9"/>
      <name val="游ゴシック"/>
      <family val="3"/>
      <charset val="128"/>
      <scheme val="minor"/>
    </font>
    <font>
      <sz val="11"/>
      <color theme="1"/>
      <name val="游ゴシック"/>
      <family val="3"/>
      <charset val="128"/>
      <scheme val="minor"/>
    </font>
    <font>
      <b/>
      <sz val="8"/>
      <color theme="3" tint="9.9978637043366805E-2"/>
      <name val="游ゴシック"/>
      <family val="3"/>
      <charset val="128"/>
      <scheme val="minor"/>
    </font>
    <font>
      <sz val="8"/>
      <color theme="1"/>
      <name val="游ゴシック"/>
      <family val="3"/>
      <charset val="128"/>
      <scheme val="minor"/>
    </font>
    <font>
      <b/>
      <sz val="9"/>
      <color rgb="FF1C4373"/>
      <name val="游ゴシック"/>
      <family val="3"/>
      <charset val="128"/>
      <scheme val="minor"/>
    </font>
    <font>
      <sz val="9"/>
      <color rgb="FF1C4373"/>
      <name val="游ゴシック"/>
      <family val="3"/>
      <charset val="128"/>
      <scheme val="minor"/>
    </font>
    <font>
      <sz val="10"/>
      <color theme="1"/>
      <name val="游ゴシック"/>
      <family val="2"/>
      <charset val="128"/>
      <scheme val="minor"/>
    </font>
    <font>
      <sz val="11"/>
      <color rgb="FFFF0000"/>
      <name val="Meiryo UI"/>
      <family val="3"/>
      <charset val="128"/>
    </font>
    <font>
      <sz val="8"/>
      <color rgb="FFFF0000"/>
      <name val="游ゴシック"/>
      <family val="3"/>
      <charset val="128"/>
      <scheme val="minor"/>
    </font>
    <font>
      <sz val="11"/>
      <name val="Meiryo UI"/>
      <family val="3"/>
      <charset val="128"/>
    </font>
    <font>
      <b/>
      <sz val="11"/>
      <name val="Meiryo UI"/>
      <family val="3"/>
      <charset val="128"/>
    </font>
  </fonts>
  <fills count="10">
    <fill>
      <patternFill patternType="none"/>
    </fill>
    <fill>
      <patternFill patternType="gray125"/>
    </fill>
    <fill>
      <patternFill patternType="solid">
        <fgColor theme="4" tint="0.59999389629810485"/>
        <bgColor indexed="64"/>
      </patternFill>
    </fill>
    <fill>
      <patternFill patternType="solid">
        <fgColor theme="3" tint="0.89999084444715716"/>
        <bgColor indexed="64"/>
      </patternFill>
    </fill>
    <fill>
      <patternFill patternType="solid">
        <fgColor theme="3" tint="0.749992370372631"/>
        <bgColor indexed="64"/>
      </patternFill>
    </fill>
    <fill>
      <patternFill patternType="solid">
        <fgColor rgb="FFFFFF00"/>
        <bgColor indexed="64"/>
      </patternFill>
    </fill>
    <fill>
      <patternFill patternType="solid">
        <fgColor rgb="FFD9D9D9"/>
        <bgColor indexed="64"/>
      </patternFill>
    </fill>
    <fill>
      <patternFill patternType="solid">
        <fgColor rgb="FF33CCFF"/>
        <bgColor indexed="64"/>
      </patternFill>
    </fill>
    <fill>
      <patternFill patternType="solid">
        <fgColor theme="1" tint="0.499984740745262"/>
        <bgColor indexed="64"/>
      </patternFill>
    </fill>
    <fill>
      <patternFill patternType="solid">
        <fgColor theme="6" tint="0.59999389629810485"/>
        <bgColor indexed="64"/>
      </patternFill>
    </fill>
  </fills>
  <borders count="28">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ck">
        <color rgb="FF41B8D4"/>
      </left>
      <right/>
      <top/>
      <bottom/>
      <diagonal/>
    </border>
    <border>
      <left/>
      <right style="thick">
        <color rgb="FF41B8D4"/>
      </right>
      <top/>
      <bottom/>
      <diagonal/>
    </border>
    <border>
      <left style="thick">
        <color rgb="FF41B8D4"/>
      </left>
      <right/>
      <top/>
      <bottom style="thin">
        <color indexed="64"/>
      </bottom>
      <diagonal/>
    </border>
    <border>
      <left style="thick">
        <color rgb="FF41B8D4"/>
      </left>
      <right/>
      <top/>
      <bottom style="thick">
        <color rgb="FF41B8D4"/>
      </bottom>
      <diagonal/>
    </border>
    <border>
      <left/>
      <right/>
      <top/>
      <bottom style="thick">
        <color rgb="FF41B8D4"/>
      </bottom>
      <diagonal/>
    </border>
    <border>
      <left/>
      <right style="thick">
        <color rgb="FF41B8D4"/>
      </right>
      <top/>
      <bottom style="thick">
        <color rgb="FF41B8D4"/>
      </bottom>
      <diagonal/>
    </border>
    <border>
      <left style="thick">
        <color rgb="FF41B8D4"/>
      </left>
      <right/>
      <top style="thick">
        <color rgb="FF41B8D4"/>
      </top>
      <bottom style="medium">
        <color rgb="FF41B8D4"/>
      </bottom>
      <diagonal/>
    </border>
    <border>
      <left/>
      <right/>
      <top style="thick">
        <color rgb="FF41B8D4"/>
      </top>
      <bottom style="medium">
        <color rgb="FF41B8D4"/>
      </bottom>
      <diagonal/>
    </border>
    <border>
      <left/>
      <right style="thick">
        <color rgb="FF41B8D4"/>
      </right>
      <top style="thick">
        <color rgb="FF41B8D4"/>
      </top>
      <bottom style="medium">
        <color rgb="FF41B8D4"/>
      </bottom>
      <diagonal/>
    </border>
    <border>
      <left style="thick">
        <color rgb="FF41B8D4"/>
      </left>
      <right/>
      <top style="double">
        <color rgb="FF41B8D4"/>
      </top>
      <bottom/>
      <diagonal/>
    </border>
    <border>
      <left/>
      <right/>
      <top style="double">
        <color rgb="FF41B8D4"/>
      </top>
      <bottom/>
      <diagonal/>
    </border>
  </borders>
  <cellStyleXfs count="1">
    <xf numFmtId="0" fontId="0" fillId="0" borderId="0">
      <alignment vertical="center"/>
    </xf>
  </cellStyleXfs>
  <cellXfs count="145">
    <xf numFmtId="0" fontId="0" fillId="0" borderId="0" xfId="0">
      <alignment vertical="center"/>
    </xf>
    <xf numFmtId="0" fontId="4" fillId="0" borderId="0" xfId="0" applyFont="1" applyFill="1">
      <alignment vertical="center"/>
    </xf>
    <xf numFmtId="0" fontId="3" fillId="0" borderId="0" xfId="0" applyFont="1" applyFill="1">
      <alignment vertical="center"/>
    </xf>
    <xf numFmtId="0" fontId="2" fillId="0" borderId="0" xfId="0" applyFont="1" applyFill="1">
      <alignment vertical="center"/>
    </xf>
    <xf numFmtId="0" fontId="2" fillId="0" borderId="0" xfId="0" applyFont="1" applyFill="1" applyAlignment="1">
      <alignment horizontal="left" vertical="center"/>
    </xf>
    <xf numFmtId="0" fontId="2" fillId="0" borderId="0" xfId="0" applyFont="1" applyFill="1" applyAlignment="1">
      <alignment vertical="center"/>
    </xf>
    <xf numFmtId="0" fontId="2" fillId="0" borderId="0" xfId="0" applyFont="1">
      <alignment vertical="center"/>
    </xf>
    <xf numFmtId="49" fontId="2" fillId="0" borderId="0" xfId="0" quotePrefix="1" applyNumberFormat="1" applyFont="1" applyFill="1">
      <alignment vertical="center"/>
    </xf>
    <xf numFmtId="180" fontId="0" fillId="0" borderId="0" xfId="0" applyNumberFormat="1" applyAlignment="1">
      <alignment horizontal="center" vertical="center"/>
    </xf>
    <xf numFmtId="0" fontId="0" fillId="5" borderId="0" xfId="0" applyFill="1">
      <alignment vertical="center"/>
    </xf>
    <xf numFmtId="180" fontId="0" fillId="0" borderId="0" xfId="0" applyNumberFormat="1" applyAlignment="1">
      <alignment vertical="center"/>
    </xf>
    <xf numFmtId="0" fontId="0" fillId="0" borderId="0" xfId="0" applyAlignment="1">
      <alignment vertical="center"/>
    </xf>
    <xf numFmtId="0" fontId="2" fillId="5" borderId="0" xfId="0" applyFont="1" applyFill="1">
      <alignment vertical="center"/>
    </xf>
    <xf numFmtId="181" fontId="4" fillId="0" borderId="0" xfId="0" applyNumberFormat="1" applyFont="1" applyFill="1">
      <alignment vertical="center"/>
    </xf>
    <xf numFmtId="181" fontId="2" fillId="0" borderId="0" xfId="0" applyNumberFormat="1" applyFont="1" applyFill="1" applyAlignment="1">
      <alignment horizontal="left" vertical="center"/>
    </xf>
    <xf numFmtId="181" fontId="2" fillId="0" borderId="0" xfId="0" quotePrefix="1" applyNumberFormat="1" applyFont="1" applyFill="1" applyAlignment="1">
      <alignment horizontal="left" vertical="center"/>
    </xf>
    <xf numFmtId="49" fontId="2" fillId="5" borderId="0" xfId="0" applyNumberFormat="1" applyFont="1" applyFill="1" applyAlignment="1">
      <alignment horizontal="left" vertical="center"/>
    </xf>
    <xf numFmtId="0" fontId="2" fillId="5" borderId="0" xfId="0" applyNumberFormat="1" applyFont="1" applyFill="1" applyAlignment="1">
      <alignment horizontal="left" vertical="center"/>
    </xf>
    <xf numFmtId="179" fontId="7" fillId="0" borderId="0" xfId="0" applyNumberFormat="1" applyFont="1">
      <alignment vertical="center"/>
    </xf>
    <xf numFmtId="0" fontId="7" fillId="0" borderId="0" xfId="0" applyFont="1">
      <alignment vertical="center"/>
    </xf>
    <xf numFmtId="0" fontId="9" fillId="0" borderId="0" xfId="0" applyFont="1" applyFill="1" applyBorder="1">
      <alignment vertical="center"/>
    </xf>
    <xf numFmtId="49" fontId="10" fillId="0" borderId="0" xfId="0" applyNumberFormat="1" applyFont="1" applyFill="1" applyBorder="1">
      <alignment vertical="center"/>
    </xf>
    <xf numFmtId="0" fontId="8" fillId="0" borderId="0" xfId="0" applyFont="1" applyFill="1" applyBorder="1">
      <alignment vertical="center"/>
    </xf>
    <xf numFmtId="0" fontId="9" fillId="0" borderId="12" xfId="0" applyFont="1" applyFill="1" applyBorder="1">
      <alignment vertical="center"/>
    </xf>
    <xf numFmtId="0" fontId="8" fillId="0" borderId="12" xfId="0" applyFont="1" applyFill="1" applyBorder="1">
      <alignment vertical="center"/>
    </xf>
    <xf numFmtId="0" fontId="8" fillId="0" borderId="0" xfId="0" quotePrefix="1" applyFont="1" applyFill="1" applyBorder="1">
      <alignment vertical="center"/>
    </xf>
    <xf numFmtId="0" fontId="8" fillId="0" borderId="12" xfId="0" quotePrefix="1" applyFont="1" applyFill="1" applyBorder="1">
      <alignment vertical="center"/>
    </xf>
    <xf numFmtId="0" fontId="0" fillId="7" borderId="3" xfId="0" applyFill="1" applyBorder="1" applyAlignment="1">
      <alignment horizontal="center" vertical="center"/>
    </xf>
    <xf numFmtId="0" fontId="0" fillId="7" borderId="3" xfId="0" applyFill="1" applyBorder="1">
      <alignment vertical="center"/>
    </xf>
    <xf numFmtId="0" fontId="0" fillId="0" borderId="3" xfId="0" applyBorder="1" applyAlignment="1">
      <alignment horizontal="center" vertical="center"/>
    </xf>
    <xf numFmtId="49" fontId="0" fillId="0" borderId="3" xfId="0" applyNumberFormat="1" applyBorder="1" applyAlignment="1">
      <alignment horizontal="center" vertical="center"/>
    </xf>
    <xf numFmtId="0" fontId="0" fillId="7" borderId="3" xfId="0" applyFill="1" applyBorder="1" applyAlignment="1">
      <alignment vertical="center" wrapText="1"/>
    </xf>
    <xf numFmtId="0" fontId="0" fillId="0" borderId="0" xfId="0" applyAlignment="1">
      <alignment horizontal="center" vertical="center"/>
    </xf>
    <xf numFmtId="0" fontId="0" fillId="0" borderId="0" xfId="0" applyFont="1">
      <alignment vertical="center"/>
    </xf>
    <xf numFmtId="22" fontId="11" fillId="0" borderId="0" xfId="0" applyNumberFormat="1" applyFont="1">
      <alignment vertical="center"/>
    </xf>
    <xf numFmtId="0" fontId="12" fillId="2" borderId="6" xfId="0" applyFont="1" applyFill="1" applyBorder="1" applyAlignment="1">
      <alignment vertical="top"/>
    </xf>
    <xf numFmtId="0" fontId="13" fillId="0" borderId="0" xfId="0" applyFont="1" applyAlignment="1">
      <alignment vertical="top"/>
    </xf>
    <xf numFmtId="0" fontId="13" fillId="3" borderId="7" xfId="0" applyNumberFormat="1" applyFont="1" applyFill="1" applyBorder="1" applyAlignment="1">
      <alignment vertical="top"/>
    </xf>
    <xf numFmtId="0" fontId="13" fillId="3" borderId="2" xfId="0" applyFont="1" applyFill="1" applyBorder="1" applyAlignment="1">
      <alignment vertical="top"/>
    </xf>
    <xf numFmtId="0" fontId="13" fillId="3" borderId="4" xfId="0" applyNumberFormat="1" applyFont="1" applyFill="1" applyBorder="1" applyAlignment="1">
      <alignment horizontal="center" vertical="top"/>
    </xf>
    <xf numFmtId="0" fontId="13" fillId="3" borderId="1" xfId="0" applyFont="1" applyFill="1" applyBorder="1" applyAlignment="1">
      <alignment vertical="top"/>
    </xf>
    <xf numFmtId="0" fontId="13" fillId="0" borderId="0" xfId="0" applyFont="1" applyBorder="1" applyAlignment="1">
      <alignment vertical="top"/>
    </xf>
    <xf numFmtId="0" fontId="13" fillId="3" borderId="2" xfId="0" applyNumberFormat="1" applyFont="1" applyFill="1" applyBorder="1" applyAlignment="1">
      <alignment horizontal="center" vertical="top"/>
    </xf>
    <xf numFmtId="0" fontId="13" fillId="3" borderId="3" xfId="0" applyFont="1" applyFill="1" applyBorder="1" applyAlignment="1">
      <alignment vertical="top"/>
    </xf>
    <xf numFmtId="0" fontId="13" fillId="3" borderId="8" xfId="0" applyNumberFormat="1" applyFont="1" applyFill="1" applyBorder="1" applyAlignment="1">
      <alignment vertical="top"/>
    </xf>
    <xf numFmtId="0" fontId="13" fillId="3" borderId="1" xfId="0" applyNumberFormat="1" applyFont="1" applyFill="1" applyBorder="1" applyAlignment="1">
      <alignment horizontal="center" vertical="top"/>
    </xf>
    <xf numFmtId="0" fontId="13" fillId="4" borderId="4" xfId="0" applyFont="1" applyFill="1" applyBorder="1" applyAlignment="1">
      <alignment vertical="top"/>
    </xf>
    <xf numFmtId="0" fontId="13" fillId="4" borderId="4" xfId="0" applyNumberFormat="1" applyFont="1" applyFill="1" applyBorder="1" applyAlignment="1">
      <alignment horizontal="center" vertical="top"/>
    </xf>
    <xf numFmtId="0" fontId="13" fillId="4" borderId="2" xfId="0" applyFont="1" applyFill="1" applyBorder="1" applyAlignment="1">
      <alignment vertical="top"/>
    </xf>
    <xf numFmtId="0" fontId="13" fillId="4" borderId="2" xfId="0" applyNumberFormat="1" applyFont="1" applyFill="1" applyBorder="1" applyAlignment="1">
      <alignment horizontal="center" vertical="top"/>
    </xf>
    <xf numFmtId="0" fontId="13" fillId="4" borderId="1" xfId="0" applyFont="1" applyFill="1" applyBorder="1" applyAlignment="1">
      <alignment vertical="top"/>
    </xf>
    <xf numFmtId="0" fontId="13" fillId="4" borderId="1" xfId="0" applyNumberFormat="1" applyFont="1" applyFill="1" applyBorder="1" applyAlignment="1">
      <alignment horizontal="center" vertical="top"/>
    </xf>
    <xf numFmtId="0" fontId="13" fillId="4" borderId="3" xfId="0" applyFont="1" applyFill="1" applyBorder="1" applyAlignment="1">
      <alignment vertical="top"/>
    </xf>
    <xf numFmtId="49" fontId="13" fillId="4" borderId="3" xfId="0" quotePrefix="1" applyNumberFormat="1" applyFont="1" applyFill="1" applyBorder="1" applyAlignment="1">
      <alignment horizontal="left" vertical="top"/>
    </xf>
    <xf numFmtId="49" fontId="13" fillId="4" borderId="2" xfId="0" quotePrefix="1" applyNumberFormat="1" applyFont="1" applyFill="1" applyBorder="1" applyAlignment="1">
      <alignment horizontal="left" vertical="top"/>
    </xf>
    <xf numFmtId="49" fontId="13" fillId="4" borderId="1" xfId="0" quotePrefix="1" applyNumberFormat="1" applyFont="1" applyFill="1" applyBorder="1" applyAlignment="1">
      <alignment horizontal="left" vertical="top"/>
    </xf>
    <xf numFmtId="49" fontId="13" fillId="4" borderId="2" xfId="0" applyNumberFormat="1" applyFont="1" applyFill="1" applyBorder="1" applyAlignment="1">
      <alignment horizontal="left" vertical="top"/>
    </xf>
    <xf numFmtId="49" fontId="13" fillId="4" borderId="1" xfId="0" applyNumberFormat="1" applyFont="1" applyFill="1" applyBorder="1" applyAlignment="1">
      <alignment horizontal="left" vertical="top"/>
    </xf>
    <xf numFmtId="0" fontId="13" fillId="3" borderId="4" xfId="0" applyFont="1" applyFill="1" applyBorder="1" applyAlignment="1">
      <alignment vertical="top"/>
    </xf>
    <xf numFmtId="49" fontId="13" fillId="3" borderId="1" xfId="0" applyNumberFormat="1" applyFont="1" applyFill="1" applyBorder="1" applyAlignment="1">
      <alignment vertical="top"/>
    </xf>
    <xf numFmtId="49" fontId="13" fillId="3" borderId="2" xfId="0" applyNumberFormat="1" applyFont="1" applyFill="1" applyBorder="1" applyAlignment="1">
      <alignment vertical="top"/>
    </xf>
    <xf numFmtId="49" fontId="13" fillId="3" borderId="4" xfId="0" applyNumberFormat="1" applyFont="1" applyFill="1" applyBorder="1" applyAlignment="1">
      <alignment vertical="top"/>
    </xf>
    <xf numFmtId="176" fontId="13" fillId="3" borderId="3" xfId="0" applyNumberFormat="1" applyFont="1" applyFill="1" applyBorder="1" applyAlignment="1">
      <alignment vertical="top"/>
    </xf>
    <xf numFmtId="176" fontId="13" fillId="3" borderId="1" xfId="0" applyNumberFormat="1" applyFont="1" applyFill="1" applyBorder="1" applyAlignment="1">
      <alignment vertical="top"/>
    </xf>
    <xf numFmtId="178" fontId="13" fillId="3" borderId="1" xfId="0" applyNumberFormat="1" applyFont="1" applyFill="1" applyBorder="1" applyAlignment="1">
      <alignment vertical="top"/>
    </xf>
    <xf numFmtId="178" fontId="13" fillId="3" borderId="3" xfId="0" applyNumberFormat="1" applyFont="1" applyFill="1" applyBorder="1" applyAlignment="1">
      <alignment vertical="top"/>
    </xf>
    <xf numFmtId="0" fontId="13" fillId="5" borderId="4" xfId="0" applyNumberFormat="1" applyFont="1" applyFill="1" applyBorder="1" applyAlignment="1">
      <alignment horizontal="center" vertical="top"/>
    </xf>
    <xf numFmtId="0" fontId="13" fillId="5" borderId="2" xfId="0" applyNumberFormat="1" applyFont="1" applyFill="1" applyBorder="1" applyAlignment="1">
      <alignment horizontal="center" vertical="top"/>
    </xf>
    <xf numFmtId="0" fontId="13" fillId="5" borderId="1" xfId="0" applyNumberFormat="1" applyFont="1" applyFill="1" applyBorder="1" applyAlignment="1">
      <alignment horizontal="center" vertical="top"/>
    </xf>
    <xf numFmtId="49" fontId="13" fillId="4" borderId="2" xfId="0" applyNumberFormat="1" applyFont="1" applyFill="1" applyBorder="1" applyAlignment="1">
      <alignment vertical="top"/>
    </xf>
    <xf numFmtId="49" fontId="13" fillId="4" borderId="1" xfId="0" applyNumberFormat="1" applyFont="1" applyFill="1" applyBorder="1" applyAlignment="1">
      <alignment vertical="top"/>
    </xf>
    <xf numFmtId="49" fontId="13" fillId="4" borderId="3" xfId="0" applyNumberFormat="1" applyFont="1" applyFill="1" applyBorder="1" applyAlignment="1">
      <alignment vertical="top"/>
    </xf>
    <xf numFmtId="0" fontId="13" fillId="3" borderId="9" xfId="0" applyFont="1" applyFill="1" applyBorder="1" applyAlignment="1">
      <alignment vertical="top"/>
    </xf>
    <xf numFmtId="0" fontId="13" fillId="3" borderId="9" xfId="0" applyNumberFormat="1" applyFont="1" applyFill="1" applyBorder="1" applyAlignment="1">
      <alignment horizontal="center" vertical="top"/>
    </xf>
    <xf numFmtId="0" fontId="13" fillId="0" borderId="10" xfId="0" applyNumberFormat="1" applyFont="1" applyBorder="1" applyAlignment="1">
      <alignment vertical="top"/>
    </xf>
    <xf numFmtId="0" fontId="13" fillId="0" borderId="11" xfId="0" applyFont="1" applyBorder="1" applyAlignment="1">
      <alignment vertical="top"/>
    </xf>
    <xf numFmtId="0" fontId="13" fillId="0" borderId="0" xfId="0" applyNumberFormat="1" applyFont="1" applyAlignment="1">
      <alignment horizontal="center" vertical="top"/>
    </xf>
    <xf numFmtId="0" fontId="8" fillId="5" borderId="0" xfId="0" applyFont="1" applyFill="1" applyBorder="1">
      <alignment vertical="center"/>
    </xf>
    <xf numFmtId="0" fontId="9" fillId="5" borderId="0" xfId="0" applyFont="1" applyFill="1" applyBorder="1">
      <alignment vertical="center"/>
    </xf>
    <xf numFmtId="0" fontId="13" fillId="5" borderId="2" xfId="0" applyFont="1" applyFill="1" applyBorder="1" applyAlignment="1">
      <alignment vertical="top"/>
    </xf>
    <xf numFmtId="0" fontId="13" fillId="5" borderId="1" xfId="0" applyFont="1" applyFill="1" applyBorder="1" applyAlignment="1">
      <alignment vertical="top"/>
    </xf>
    <xf numFmtId="49" fontId="10" fillId="0" borderId="17" xfId="0" applyNumberFormat="1" applyFont="1" applyFill="1" applyBorder="1">
      <alignment vertical="center"/>
    </xf>
    <xf numFmtId="0" fontId="9" fillId="0" borderId="18" xfId="0" applyFont="1" applyFill="1" applyBorder="1">
      <alignment vertical="center"/>
    </xf>
    <xf numFmtId="49" fontId="10" fillId="0" borderId="19" xfId="0" applyNumberFormat="1" applyFont="1" applyFill="1" applyBorder="1">
      <alignment vertical="center"/>
    </xf>
    <xf numFmtId="49" fontId="10" fillId="0" borderId="20" xfId="0" applyNumberFormat="1" applyFont="1" applyFill="1" applyBorder="1">
      <alignment vertical="center"/>
    </xf>
    <xf numFmtId="0" fontId="9" fillId="0" borderId="21" xfId="0" applyFont="1" applyFill="1" applyBorder="1">
      <alignment vertical="center"/>
    </xf>
    <xf numFmtId="0" fontId="8" fillId="0" borderId="21" xfId="0" applyFont="1" applyFill="1" applyBorder="1">
      <alignment vertical="center"/>
    </xf>
    <xf numFmtId="0" fontId="9" fillId="0" borderId="22" xfId="0" applyFont="1" applyFill="1" applyBorder="1">
      <alignment vertical="center"/>
    </xf>
    <xf numFmtId="49" fontId="14" fillId="3" borderId="23" xfId="0" applyNumberFormat="1" applyFont="1" applyFill="1" applyBorder="1">
      <alignment vertical="center"/>
    </xf>
    <xf numFmtId="0" fontId="14" fillId="3" borderId="24" xfId="0" applyFont="1" applyFill="1" applyBorder="1">
      <alignment vertical="center"/>
    </xf>
    <xf numFmtId="0" fontId="15" fillId="3" borderId="25" xfId="0" applyFont="1" applyFill="1" applyBorder="1">
      <alignment vertical="center"/>
    </xf>
    <xf numFmtId="49" fontId="10" fillId="0" borderId="26" xfId="0" applyNumberFormat="1" applyFont="1" applyFill="1" applyBorder="1">
      <alignment vertical="center"/>
    </xf>
    <xf numFmtId="0" fontId="9" fillId="0" borderId="27" xfId="0" applyFont="1" applyFill="1" applyBorder="1">
      <alignment vertical="center"/>
    </xf>
    <xf numFmtId="0" fontId="8" fillId="0" borderId="27" xfId="0" applyFont="1" applyFill="1" applyBorder="1">
      <alignment vertical="center"/>
    </xf>
    <xf numFmtId="0" fontId="16" fillId="0" borderId="3" xfId="0" applyFont="1" applyBorder="1">
      <alignment vertical="center"/>
    </xf>
    <xf numFmtId="0" fontId="2" fillId="0" borderId="3" xfId="0" applyFont="1" applyBorder="1" applyAlignment="1">
      <alignment vertical="center" wrapText="1"/>
    </xf>
    <xf numFmtId="0" fontId="2" fillId="8" borderId="3" xfId="0" applyFont="1" applyFill="1" applyBorder="1">
      <alignment vertical="center"/>
    </xf>
    <xf numFmtId="0" fontId="2" fillId="8" borderId="3" xfId="0" applyFont="1" applyFill="1" applyBorder="1" applyAlignment="1">
      <alignment vertical="center" wrapText="1"/>
    </xf>
    <xf numFmtId="22" fontId="16" fillId="0" borderId="3" xfId="0" applyNumberFormat="1" applyFont="1" applyBorder="1">
      <alignment vertical="center"/>
    </xf>
    <xf numFmtId="179" fontId="17" fillId="0" borderId="0" xfId="0" applyNumberFormat="1" applyFont="1">
      <alignment vertical="center"/>
    </xf>
    <xf numFmtId="0" fontId="17" fillId="0" borderId="0" xfId="0" applyFont="1">
      <alignment vertical="center"/>
    </xf>
    <xf numFmtId="0" fontId="13" fillId="3" borderId="1" xfId="0" applyNumberFormat="1" applyFont="1" applyFill="1" applyBorder="1" applyAlignment="1">
      <alignment vertical="top"/>
    </xf>
    <xf numFmtId="0" fontId="12" fillId="5" borderId="5" xfId="0" applyNumberFormat="1" applyFont="1" applyFill="1" applyBorder="1" applyAlignment="1">
      <alignment vertical="top"/>
    </xf>
    <xf numFmtId="0" fontId="12" fillId="5" borderId="6" xfId="0" applyFont="1" applyFill="1" applyBorder="1" applyAlignment="1">
      <alignment vertical="top"/>
    </xf>
    <xf numFmtId="0" fontId="12" fillId="5" borderId="6" xfId="0" applyNumberFormat="1" applyFont="1" applyFill="1" applyBorder="1" applyAlignment="1">
      <alignment vertical="top"/>
    </xf>
    <xf numFmtId="0" fontId="14" fillId="3" borderId="24" xfId="0" applyFont="1" applyFill="1" applyBorder="1" applyAlignment="1">
      <alignment horizontal="left" vertical="center"/>
    </xf>
    <xf numFmtId="0" fontId="9" fillId="0" borderId="0" xfId="0" applyFont="1" applyFill="1" applyBorder="1" applyAlignment="1">
      <alignment horizontal="left" vertical="center"/>
    </xf>
    <xf numFmtId="177" fontId="9" fillId="0" borderId="0" xfId="0" applyNumberFormat="1" applyFont="1" applyFill="1" applyBorder="1" applyAlignment="1">
      <alignment horizontal="left" vertical="center"/>
    </xf>
    <xf numFmtId="177" fontId="9" fillId="6" borderId="0" xfId="0" applyNumberFormat="1" applyFont="1" applyFill="1" applyBorder="1" applyAlignment="1">
      <alignment horizontal="left" vertical="center"/>
    </xf>
    <xf numFmtId="177" fontId="9" fillId="0" borderId="27" xfId="0" applyNumberFormat="1" applyFont="1" applyFill="1" applyBorder="1" applyAlignment="1">
      <alignment horizontal="left" vertical="center"/>
    </xf>
    <xf numFmtId="0" fontId="9" fillId="0" borderId="0" xfId="0" applyNumberFormat="1" applyFont="1" applyFill="1" applyBorder="1" applyAlignment="1">
      <alignment horizontal="left" vertical="center"/>
    </xf>
    <xf numFmtId="177" fontId="9" fillId="0" borderId="12" xfId="0" applyNumberFormat="1" applyFont="1" applyFill="1" applyBorder="1" applyAlignment="1">
      <alignment horizontal="left" vertical="center"/>
    </xf>
    <xf numFmtId="0" fontId="9" fillId="0" borderId="12" xfId="0" applyFont="1" applyFill="1" applyBorder="1" applyAlignment="1">
      <alignment horizontal="left" vertical="center"/>
    </xf>
    <xf numFmtId="0" fontId="9" fillId="0" borderId="21" xfId="0" applyFont="1" applyFill="1" applyBorder="1" applyAlignment="1">
      <alignment horizontal="left" vertical="center"/>
    </xf>
    <xf numFmtId="0" fontId="12" fillId="2" borderId="6" xfId="0" applyFont="1" applyFill="1" applyBorder="1" applyAlignment="1">
      <alignment horizontal="left" vertical="top"/>
    </xf>
    <xf numFmtId="0" fontId="13" fillId="3" borderId="1" xfId="0" applyFont="1" applyFill="1" applyBorder="1" applyAlignment="1">
      <alignment horizontal="left" vertical="top"/>
    </xf>
    <xf numFmtId="0" fontId="13" fillId="3" borderId="2" xfId="0" applyFont="1" applyFill="1" applyBorder="1" applyAlignment="1">
      <alignment horizontal="left" vertical="top"/>
    </xf>
    <xf numFmtId="0" fontId="13" fillId="3" borderId="3" xfId="0" applyFont="1" applyFill="1" applyBorder="1" applyAlignment="1">
      <alignment horizontal="left" vertical="top"/>
    </xf>
    <xf numFmtId="0" fontId="13" fillId="4" borderId="4" xfId="0" applyFont="1" applyFill="1" applyBorder="1" applyAlignment="1">
      <alignment horizontal="left" vertical="top"/>
    </xf>
    <xf numFmtId="0" fontId="13" fillId="4" borderId="2" xfId="0" applyFont="1" applyFill="1" applyBorder="1" applyAlignment="1">
      <alignment horizontal="left" vertical="top"/>
    </xf>
    <xf numFmtId="0" fontId="13" fillId="4" borderId="1" xfId="0" applyFont="1" applyFill="1" applyBorder="1" applyAlignment="1">
      <alignment horizontal="left" vertical="top"/>
    </xf>
    <xf numFmtId="0" fontId="13" fillId="4" borderId="3" xfId="0" applyFont="1" applyFill="1" applyBorder="1" applyAlignment="1">
      <alignment horizontal="left" vertical="top"/>
    </xf>
    <xf numFmtId="0" fontId="13" fillId="3" borderId="9" xfId="0" applyFont="1" applyFill="1" applyBorder="1" applyAlignment="1">
      <alignment horizontal="left" vertical="top"/>
    </xf>
    <xf numFmtId="0" fontId="13" fillId="0" borderId="0" xfId="0" applyFont="1" applyAlignment="1">
      <alignment horizontal="left" vertical="top"/>
    </xf>
    <xf numFmtId="0" fontId="18" fillId="3" borderId="1" xfId="0" applyFont="1" applyFill="1" applyBorder="1" applyAlignment="1">
      <alignment horizontal="left" vertical="top"/>
    </xf>
    <xf numFmtId="0" fontId="19" fillId="0" borderId="0" xfId="0" applyFont="1">
      <alignment vertical="center"/>
    </xf>
    <xf numFmtId="0" fontId="20" fillId="0" borderId="0" xfId="0" applyFont="1">
      <alignment vertical="center"/>
    </xf>
    <xf numFmtId="0" fontId="19" fillId="5" borderId="0" xfId="0" applyFont="1" applyFill="1">
      <alignment vertical="center"/>
    </xf>
    <xf numFmtId="0" fontId="7" fillId="5" borderId="0" xfId="0" applyFont="1" applyFill="1">
      <alignment vertical="center"/>
    </xf>
    <xf numFmtId="14" fontId="7" fillId="0" borderId="0" xfId="0" applyNumberFormat="1" applyFont="1">
      <alignment vertical="center"/>
    </xf>
    <xf numFmtId="179" fontId="17" fillId="5" borderId="0" xfId="0" applyNumberFormat="1" applyFont="1" applyFill="1">
      <alignment vertical="center"/>
    </xf>
    <xf numFmtId="0" fontId="17" fillId="5" borderId="0" xfId="0" applyFont="1" applyFill="1">
      <alignment vertical="center"/>
    </xf>
    <xf numFmtId="0" fontId="2" fillId="0" borderId="3" xfId="0" applyFont="1" applyBorder="1" applyAlignment="1">
      <alignment horizontal="center" vertical="center" wrapText="1"/>
    </xf>
    <xf numFmtId="0" fontId="2" fillId="0" borderId="3" xfId="0" applyFont="1" applyBorder="1" applyAlignment="1">
      <alignment horizontal="center" vertical="center"/>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0" fillId="7" borderId="15" xfId="0" applyFill="1" applyBorder="1" applyAlignment="1">
      <alignment horizontal="center" vertical="center"/>
    </xf>
    <xf numFmtId="0" fontId="0" fillId="7" borderId="10" xfId="0" applyFill="1" applyBorder="1" applyAlignment="1">
      <alignment horizontal="center" vertical="center"/>
    </xf>
    <xf numFmtId="0" fontId="0" fillId="7" borderId="16" xfId="0" applyFill="1" applyBorder="1" applyAlignment="1">
      <alignment horizontal="center" vertical="center"/>
    </xf>
    <xf numFmtId="0" fontId="0" fillId="7" borderId="3" xfId="0" applyFill="1" applyBorder="1" applyAlignment="1">
      <alignment horizontal="center" vertical="center" wrapText="1"/>
    </xf>
    <xf numFmtId="0" fontId="0" fillId="7" borderId="2" xfId="0" applyFill="1" applyBorder="1" applyAlignment="1">
      <alignment horizontal="center" vertical="center"/>
    </xf>
    <xf numFmtId="0" fontId="13" fillId="9" borderId="2" xfId="0" applyFont="1" applyFill="1" applyBorder="1" applyAlignment="1">
      <alignment vertical="top"/>
    </xf>
    <xf numFmtId="0" fontId="13" fillId="9" borderId="1" xfId="0" applyFont="1" applyFill="1" applyBorder="1" applyAlignment="1">
      <alignment vertical="top"/>
    </xf>
    <xf numFmtId="0" fontId="13" fillId="9" borderId="3" xfId="0" applyFont="1" applyFill="1" applyBorder="1" applyAlignment="1">
      <alignment vertical="top"/>
    </xf>
  </cellXfs>
  <cellStyles count="1">
    <cellStyle name="標準" xfId="0" builtinId="0"/>
  </cellStyles>
  <dxfs count="14">
    <dxf>
      <font>
        <b val="0"/>
        <i val="0"/>
        <strike val="0"/>
        <condense val="0"/>
        <extend val="0"/>
        <outline val="0"/>
        <shadow val="0"/>
        <u val="none"/>
        <vertAlign val="baseline"/>
        <sz val="10"/>
        <color theme="1"/>
        <name val="游ゴシック"/>
        <family val="3"/>
        <charset val="128"/>
        <scheme val="minor"/>
      </font>
      <numFmt numFmtId="0" formatCode="General"/>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val="0"/>
        <i val="0"/>
        <strike val="0"/>
        <condense val="0"/>
        <extend val="0"/>
        <outline val="0"/>
        <shadow val="0"/>
        <u val="none"/>
        <vertAlign val="baseline"/>
        <sz val="10"/>
        <color theme="1"/>
        <name val="游ゴシック"/>
        <family val="3"/>
        <charset val="128"/>
        <scheme val="minor"/>
      </font>
      <numFmt numFmtId="181" formatCode="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b/>
        <i val="0"/>
        <strike val="0"/>
        <condense val="0"/>
        <extend val="0"/>
        <outline val="0"/>
        <shadow val="0"/>
        <u val="none"/>
        <vertAlign val="baseline"/>
        <sz val="10"/>
        <color theme="1"/>
        <name val="游ゴシック"/>
        <family val="3"/>
        <charset val="128"/>
        <scheme val="minor"/>
      </font>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41B8D4"/>
      <color rgb="FF1C4373"/>
      <color rgb="FFFF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House">
        <xsd:complexType>
          <xsd:sequence minOccurs="0">
            <xsd:element minOccurs="0" nillable="true" name="Environment" form="unqualified">
              <xsd:complexType>
                <xsd:attribute name="Region" form="unqualified" type="xsd:integer"/>
              </xsd:complexType>
            </xsd:element>
            <xsd:element minOccurs="0" nillable="true" name="Zones" form="unqualified">
              <xsd:complexType>
                <xsd:sequence minOccurs="0">
                  <xsd:element minOccurs="0" maxOccurs="unbounded" nillable="true" name="Zone" form="unqualified">
                    <xsd:complexType>
                      <xsd:attribute name="Type" form="unqualified" type="xsd:string"/>
                      <xsd:attribute name="Area" form="unqualified" type="xsd:double"/>
                      <xsd:attribute name="NaturalWind" form="unqualified" type="xsd:integer"/>
                    </xsd:complexType>
                  </xsd:element>
                </xsd:sequence>
              </xsd:complexType>
            </xsd:element>
            <xsd:element minOccurs="0" nillable="true" name="Envelope" form="unqualified">
              <xsd:complexType>
                <xsd:attribute name="HeatStorage" form="unqualified" type="xsd:string"/>
                <xsd:attribute name="EvaluationMethod" form="unqualified" type="xsd:string"/>
                <xsd:attribute name="TotalEnvelopeArea" form="unqualified" type="xsd:double"/>
                <xsd:attribute name="UAValue" form="unqualified" type="xsd:double"/>
                <xsd:attribute name="SummerHAValue" form="unqualified" type="xsd:double"/>
                <xsd:attribute name="WinterHAValue" form="unqualified" type="xsd:double"/>
              </xsd:complexType>
            </xsd:element>
            <xsd:element minOccurs="0" nillable="true" name="Heating" form="unqualified">
              <xsd:complexType>
                <xsd:sequence minOccurs="0">
                  <xsd:element minOccurs="0" maxOccurs="unbounded" nillable="true" name="RoomAirConditioningHeating" form="unqualified">
                    <xsd:complexType>
                      <xsd:attribute name="Zone" form="unqualified" type="xsd:string"/>
                    </xsd:complexType>
                  </xsd:element>
                </xsd:sequence>
                <xsd:attribute name="Type" form="unqualified" type="xsd:string"/>
              </xsd:complexType>
            </xsd:element>
            <xsd:element minOccurs="0" nillable="true" name="Cooling" form="unqualified">
              <xsd:complexType>
                <xsd:sequence minOccurs="0">
                  <xsd:element minOccurs="0" maxOccurs="unbounded" nillable="true" name="RoomAirConditioningCooling" form="unqualified">
                    <xsd:complexType>
                      <xsd:attribute name="Zone" form="unqualified" type="xsd:string"/>
                    </xsd:complexType>
                  </xsd:element>
                </xsd:sequence>
                <xsd:attribute name="Type" form="unqualified" type="xsd:string"/>
              </xsd:complexType>
            </xsd:element>
            <xsd:element minOccurs="0" nillable="true" name="Ventilation" form="unqualified">
              <xsd:complexType>
                <xsd:attribute name="Type" form="unqualified" type="xsd:string"/>
                <xsd:attribute name="HeatExchanger" form="unqualified" type="xsd:string"/>
                <xsd:attribute name="Frequency" form="unqualified" type="xsd:string"/>
              </xsd:complexType>
            </xsd:element>
            <xsd:element minOccurs="0" nillable="true" name="Hotwater" form="unqualified">
              <xsd:complexType>
                <xsd:sequence minOccurs="0">
                  <xsd:element minOccurs="0" nillable="true" name="WaterHeater" form="unqualified">
                    <xsd:complexType>
                      <xsd:attribute name="Install" form="unqualified" type="xsd:string"/>
                      <xsd:attribute name="Type" form="unqualified" type="xsd:string"/>
                    </xsd:complexType>
                  </xsd:element>
                  <xsd:element minOccurs="0" nillable="true" name="Bath" form="unqualified">
                    <xsd:complexType>
                      <xsd:attribute name="Function" form="unqualified" type="xsd:string"/>
                      <xsd:attribute name="Insulation" form="unqualified" type="xsd:string"/>
                    </xsd:complexType>
                  </xsd:element>
                  <xsd:element minOccurs="0" nillable="true" name="Pipe" form="unqualified">
                    <xsd:complexType>
                      <xsd:attribute name="Type" form="unqualified" type="xsd:string"/>
                    </xsd:complexType>
                  </xsd:element>
                  <xsd:element minOccurs="0" maxOccurs="unbounded" nillable="true" name="Tap" form="unqualified">
                    <xsd:complexType>
                      <xsd:attribute name="Type" form="unqualified" type="xsd:string"/>
                      <xsd:attribute name="Saving" form="unqualified" type="xsd:string"/>
                    </xsd:complexType>
                  </xsd:element>
                </xsd:sequence>
              </xsd:complexType>
            </xsd:element>
            <xsd:element minOccurs="0" nillable="true" type="xsd:string" name="Lighting" form="unqualified"/>
          </xsd:sequence>
          <xsd:attribute name="ProgramName" form="unqualified" type="xsd:string"/>
          <xsd:attribute name="ProgramVersion" form="unqualified" type="xsd:string"/>
          <xsd:attribute name="Name" form="unqualified" type="xsd:string"/>
          <xsd:attribute name="EvaluationMethod" form="unqualified" type="xsd:string"/>
          <xsd:attribute name="Type" form="unqualified" type="xsd:string"/>
          <xsd:attribute name="TotalArea" form="unqualified" type="xsd:double"/>
          <xsd:attribute name="CreateDate" form="unqualified" type="xsd:string"/>
        </xsd:complexType>
      </xsd:element>
    </xsd:schema>
  </Schema>
  <Map ID="1" Name="House_対応付け" RootElement="House"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12</xdr:col>
      <xdr:colOff>217954</xdr:colOff>
      <xdr:row>1</xdr:row>
      <xdr:rowOff>109445</xdr:rowOff>
    </xdr:from>
    <xdr:to>
      <xdr:col>13</xdr:col>
      <xdr:colOff>588733</xdr:colOff>
      <xdr:row>3</xdr:row>
      <xdr:rowOff>166170</xdr:rowOff>
    </xdr:to>
    <xdr:sp macro="[0]!CalculateHousingEnergyPerformance" textlink="">
      <xdr:nvSpPr>
        <xdr:cNvPr id="2" name="四角形: 角を丸くする 1">
          <a:extLst>
            <a:ext uri="{FF2B5EF4-FFF2-40B4-BE49-F238E27FC236}">
              <a16:creationId xmlns:a16="http://schemas.microsoft.com/office/drawing/2014/main" id="{C4A907EE-AA41-4D42-9E61-DC808DF1359D}"/>
            </a:ext>
          </a:extLst>
        </xdr:cNvPr>
        <xdr:cNvSpPr/>
      </xdr:nvSpPr>
      <xdr:spPr>
        <a:xfrm>
          <a:off x="12200404" y="347570"/>
          <a:ext cx="1056579" cy="532975"/>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800" b="1" kern="1200">
              <a:solidFill>
                <a:schemeClr val="accent3"/>
              </a:solidFill>
            </a:rPr>
            <a:t>解析</a:t>
          </a:r>
          <a:endParaRPr kumimoji="1" lang="en-US" altLang="ja-JP" sz="1800" b="1" kern="1200">
            <a:solidFill>
              <a:schemeClr val="accent3"/>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612322</xdr:colOff>
      <xdr:row>3</xdr:row>
      <xdr:rowOff>7256</xdr:rowOff>
    </xdr:from>
    <xdr:to>
      <xdr:col>14</xdr:col>
      <xdr:colOff>265466</xdr:colOff>
      <xdr:row>12</xdr:row>
      <xdr:rowOff>154052</xdr:rowOff>
    </xdr:to>
    <xdr:pic>
      <xdr:nvPicPr>
        <xdr:cNvPr id="2" name="図 1">
          <a:extLst>
            <a:ext uri="{FF2B5EF4-FFF2-40B4-BE49-F238E27FC236}">
              <a16:creationId xmlns:a16="http://schemas.microsoft.com/office/drawing/2014/main" id="{3071DA0D-8203-4DDF-973D-80AB5E0EFA13}"/>
            </a:ext>
          </a:extLst>
        </xdr:cNvPr>
        <xdr:cNvPicPr>
          <a:picLocks noChangeAspect="1"/>
        </xdr:cNvPicPr>
      </xdr:nvPicPr>
      <xdr:blipFill>
        <a:blip xmlns:r="http://schemas.openxmlformats.org/officeDocument/2006/relationships" r:embed="rId1"/>
        <a:stretch>
          <a:fillRect/>
        </a:stretch>
      </xdr:blipFill>
      <xdr:spPr>
        <a:xfrm>
          <a:off x="19643272" y="721631"/>
          <a:ext cx="1948669" cy="2289921"/>
        </a:xfrm>
        <a:prstGeom prst="rect">
          <a:avLst/>
        </a:prstGeom>
      </xdr:spPr>
    </xdr:pic>
    <xdr:clientData/>
  </xdr:twoCellAnchor>
  <xdr:twoCellAnchor editAs="oneCell">
    <xdr:from>
      <xdr:col>12</xdr:col>
      <xdr:colOff>650311</xdr:colOff>
      <xdr:row>13</xdr:row>
      <xdr:rowOff>1813</xdr:rowOff>
    </xdr:from>
    <xdr:to>
      <xdr:col>13</xdr:col>
      <xdr:colOff>1512314</xdr:colOff>
      <xdr:row>23</xdr:row>
      <xdr:rowOff>155119</xdr:rowOff>
    </xdr:to>
    <xdr:pic>
      <xdr:nvPicPr>
        <xdr:cNvPr id="3" name="図 2">
          <a:extLst>
            <a:ext uri="{FF2B5EF4-FFF2-40B4-BE49-F238E27FC236}">
              <a16:creationId xmlns:a16="http://schemas.microsoft.com/office/drawing/2014/main" id="{07F2BCCA-E65C-47C2-9CF0-43696C7C55C3}"/>
            </a:ext>
          </a:extLst>
        </xdr:cNvPr>
        <xdr:cNvPicPr>
          <a:picLocks noChangeAspect="1"/>
        </xdr:cNvPicPr>
      </xdr:nvPicPr>
      <xdr:blipFill>
        <a:blip xmlns:r="http://schemas.openxmlformats.org/officeDocument/2006/relationships" r:embed="rId2"/>
        <a:stretch>
          <a:fillRect/>
        </a:stretch>
      </xdr:blipFill>
      <xdr:spPr>
        <a:xfrm>
          <a:off x="19681261" y="3097438"/>
          <a:ext cx="1547803" cy="2534556"/>
        </a:xfrm>
        <a:prstGeom prst="rect">
          <a:avLst/>
        </a:prstGeom>
      </xdr:spPr>
    </xdr:pic>
    <xdr:clientData/>
  </xdr:twoCellAnchor>
  <xdr:twoCellAnchor editAs="oneCell">
    <xdr:from>
      <xdr:col>13</xdr:col>
      <xdr:colOff>86860</xdr:colOff>
      <xdr:row>24</xdr:row>
      <xdr:rowOff>109762</xdr:rowOff>
    </xdr:from>
    <xdr:to>
      <xdr:col>14</xdr:col>
      <xdr:colOff>197491</xdr:colOff>
      <xdr:row>36</xdr:row>
      <xdr:rowOff>92980</xdr:rowOff>
    </xdr:to>
    <xdr:pic>
      <xdr:nvPicPr>
        <xdr:cNvPr id="4" name="図 3">
          <a:extLst>
            <a:ext uri="{FF2B5EF4-FFF2-40B4-BE49-F238E27FC236}">
              <a16:creationId xmlns:a16="http://schemas.microsoft.com/office/drawing/2014/main" id="{C0D517EB-8BCC-456B-B41A-B0B5C9E1CE53}"/>
            </a:ext>
          </a:extLst>
        </xdr:cNvPr>
        <xdr:cNvPicPr>
          <a:picLocks noChangeAspect="1"/>
        </xdr:cNvPicPr>
      </xdr:nvPicPr>
      <xdr:blipFill>
        <a:blip xmlns:r="http://schemas.openxmlformats.org/officeDocument/2006/relationships" r:embed="rId3"/>
        <a:stretch>
          <a:fillRect/>
        </a:stretch>
      </xdr:blipFill>
      <xdr:spPr>
        <a:xfrm>
          <a:off x="19803610" y="5824762"/>
          <a:ext cx="1720356" cy="2840718"/>
        </a:xfrm>
        <a:prstGeom prst="rect">
          <a:avLst/>
        </a:prstGeom>
      </xdr:spPr>
    </xdr:pic>
    <xdr:clientData/>
  </xdr:twoCellAnchor>
  <xdr:twoCellAnchor editAs="oneCell">
    <xdr:from>
      <xdr:col>13</xdr:col>
      <xdr:colOff>9501</xdr:colOff>
      <xdr:row>37</xdr:row>
      <xdr:rowOff>31148</xdr:rowOff>
    </xdr:from>
    <xdr:to>
      <xdr:col>14</xdr:col>
      <xdr:colOff>135767</xdr:colOff>
      <xdr:row>44</xdr:row>
      <xdr:rowOff>36089</xdr:rowOff>
    </xdr:to>
    <xdr:pic>
      <xdr:nvPicPr>
        <xdr:cNvPr id="5" name="図 4">
          <a:extLst>
            <a:ext uri="{FF2B5EF4-FFF2-40B4-BE49-F238E27FC236}">
              <a16:creationId xmlns:a16="http://schemas.microsoft.com/office/drawing/2014/main" id="{AADD80E0-9E17-46D4-AF56-8CCE9CF44690}"/>
            </a:ext>
          </a:extLst>
        </xdr:cNvPr>
        <xdr:cNvPicPr>
          <a:picLocks noChangeAspect="1"/>
        </xdr:cNvPicPr>
      </xdr:nvPicPr>
      <xdr:blipFill>
        <a:blip xmlns:r="http://schemas.openxmlformats.org/officeDocument/2006/relationships" r:embed="rId4"/>
        <a:stretch>
          <a:fillRect/>
        </a:stretch>
      </xdr:blipFill>
      <xdr:spPr>
        <a:xfrm>
          <a:off x="19726251" y="8841773"/>
          <a:ext cx="1735991" cy="1671816"/>
        </a:xfrm>
        <a:prstGeom prst="rect">
          <a:avLst/>
        </a:prstGeom>
      </xdr:spPr>
    </xdr:pic>
    <xdr:clientData/>
  </xdr:twoCellAnchor>
  <xdr:twoCellAnchor editAs="oneCell">
    <xdr:from>
      <xdr:col>13</xdr:col>
      <xdr:colOff>76761</xdr:colOff>
      <xdr:row>44</xdr:row>
      <xdr:rowOff>202380</xdr:rowOff>
    </xdr:from>
    <xdr:to>
      <xdr:col>14</xdr:col>
      <xdr:colOff>39267</xdr:colOff>
      <xdr:row>50</xdr:row>
      <xdr:rowOff>27637</xdr:rowOff>
    </xdr:to>
    <xdr:pic>
      <xdr:nvPicPr>
        <xdr:cNvPr id="6" name="図 5">
          <a:extLst>
            <a:ext uri="{FF2B5EF4-FFF2-40B4-BE49-F238E27FC236}">
              <a16:creationId xmlns:a16="http://schemas.microsoft.com/office/drawing/2014/main" id="{5370D426-BAA1-425F-ABA8-26A0B8DC0939}"/>
            </a:ext>
          </a:extLst>
        </xdr:cNvPr>
        <xdr:cNvPicPr>
          <a:picLocks noChangeAspect="1"/>
        </xdr:cNvPicPr>
      </xdr:nvPicPr>
      <xdr:blipFill>
        <a:blip xmlns:r="http://schemas.openxmlformats.org/officeDocument/2006/relationships" r:embed="rId5"/>
        <a:stretch>
          <a:fillRect/>
        </a:stretch>
      </xdr:blipFill>
      <xdr:spPr>
        <a:xfrm>
          <a:off x="19793511" y="10679880"/>
          <a:ext cx="1572231" cy="124448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0</xdr:colOff>
      <xdr:row>1</xdr:row>
      <xdr:rowOff>1</xdr:rowOff>
    </xdr:from>
    <xdr:to>
      <xdr:col>19</xdr:col>
      <xdr:colOff>0</xdr:colOff>
      <xdr:row>5</xdr:row>
      <xdr:rowOff>1</xdr:rowOff>
    </xdr:to>
    <xdr:sp macro="" textlink="">
      <xdr:nvSpPr>
        <xdr:cNvPr id="2" name="テキスト ボックス 1">
          <a:extLst>
            <a:ext uri="{FF2B5EF4-FFF2-40B4-BE49-F238E27FC236}">
              <a16:creationId xmlns:a16="http://schemas.microsoft.com/office/drawing/2014/main" id="{E958E8D5-515D-599D-4B40-1207579FA469}"/>
            </a:ext>
          </a:extLst>
        </xdr:cNvPr>
        <xdr:cNvSpPr txBox="1"/>
      </xdr:nvSpPr>
      <xdr:spPr>
        <a:xfrm>
          <a:off x="15573375" y="209551"/>
          <a:ext cx="4114800" cy="83820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kumimoji="1" lang="ja-JP" altLang="en-US" sz="1600" b="1" kern="1200">
              <a:solidFill>
                <a:schemeClr val="accent2">
                  <a:lumMod val="75000"/>
                </a:schemeClr>
              </a:solidFill>
            </a:rPr>
            <a:t>使用用途：セルの参照範囲を作成するため</a:t>
          </a:r>
        </a:p>
      </xdr:txBody>
    </xdr:sp>
    <xdr:clientData/>
  </xdr:twoCellAnchor>
  <xdr:twoCellAnchor>
    <xdr:from>
      <xdr:col>0</xdr:col>
      <xdr:colOff>0</xdr:colOff>
      <xdr:row>259</xdr:row>
      <xdr:rowOff>200022</xdr:rowOff>
    </xdr:from>
    <xdr:to>
      <xdr:col>9</xdr:col>
      <xdr:colOff>7258049</xdr:colOff>
      <xdr:row>325</xdr:row>
      <xdr:rowOff>200024</xdr:rowOff>
    </xdr:to>
    <xdr:sp macro="" textlink="">
      <xdr:nvSpPr>
        <xdr:cNvPr id="3" name="正方形/長方形 2">
          <a:extLst>
            <a:ext uri="{FF2B5EF4-FFF2-40B4-BE49-F238E27FC236}">
              <a16:creationId xmlns:a16="http://schemas.microsoft.com/office/drawing/2014/main" id="{0080657F-9170-4DE4-8554-033813BE21CF}"/>
            </a:ext>
          </a:extLst>
        </xdr:cNvPr>
        <xdr:cNvSpPr/>
      </xdr:nvSpPr>
      <xdr:spPr>
        <a:xfrm>
          <a:off x="0" y="54806847"/>
          <a:ext cx="20602574" cy="13801727"/>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xdr:from>
      <xdr:col>3</xdr:col>
      <xdr:colOff>0</xdr:colOff>
      <xdr:row>627</xdr:row>
      <xdr:rowOff>0</xdr:rowOff>
    </xdr:from>
    <xdr:to>
      <xdr:col>12</xdr:col>
      <xdr:colOff>0</xdr:colOff>
      <xdr:row>629</xdr:row>
      <xdr:rowOff>0</xdr:rowOff>
    </xdr:to>
    <xdr:sp macro="" textlink="">
      <xdr:nvSpPr>
        <xdr:cNvPr id="6" name="正方形/長方形 5">
          <a:extLst>
            <a:ext uri="{FF2B5EF4-FFF2-40B4-BE49-F238E27FC236}">
              <a16:creationId xmlns:a16="http://schemas.microsoft.com/office/drawing/2014/main" id="{92A16C91-1EAC-40B9-B250-BB49B28FBD9E}"/>
            </a:ext>
          </a:extLst>
        </xdr:cNvPr>
        <xdr:cNvSpPr/>
      </xdr:nvSpPr>
      <xdr:spPr>
        <a:xfrm>
          <a:off x="1533525" y="103793925"/>
          <a:ext cx="23907750" cy="3238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19050</xdr:rowOff>
    </xdr:from>
    <xdr:to>
      <xdr:col>6</xdr:col>
      <xdr:colOff>0</xdr:colOff>
      <xdr:row>31</xdr:row>
      <xdr:rowOff>0</xdr:rowOff>
    </xdr:to>
    <xdr:sp macro="" textlink="">
      <xdr:nvSpPr>
        <xdr:cNvPr id="2" name="正方形/長方形 1">
          <a:extLst>
            <a:ext uri="{FF2B5EF4-FFF2-40B4-BE49-F238E27FC236}">
              <a16:creationId xmlns:a16="http://schemas.microsoft.com/office/drawing/2014/main" id="{E8757D28-4AE1-76CC-1994-8EE5AED5777B}"/>
            </a:ext>
          </a:extLst>
        </xdr:cNvPr>
        <xdr:cNvSpPr/>
      </xdr:nvSpPr>
      <xdr:spPr>
        <a:xfrm>
          <a:off x="0" y="228600"/>
          <a:ext cx="20002500" cy="6267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F4A37DA-98F8-4AC7-BEF9-B7023FB8C078}" name="テーブル2" displayName="テーブル2" ref="A1:G220" totalsRowShown="0" headerRowDxfId="8" dataDxfId="7">
  <autoFilter ref="A1:G220" xr:uid="{AF4A37DA-98F8-4AC7-BEF9-B7023FB8C078}"/>
  <tableColumns count="7">
    <tableColumn id="1" xr3:uid="{3D2393F0-3326-4526-86C4-49E4A8F19D66}" name="No." dataDxfId="6">
      <calculatedColumnFormula>ROW()-1</calculatedColumnFormula>
    </tableColumn>
    <tableColumn id="2" xr3:uid="{E6BFDE49-640F-401B-B09B-36406DE8486F}" name="Sheet" dataDxfId="5"/>
    <tableColumn id="3" xr3:uid="{5299D579-C056-478A-85A0-4385AE13D428}" name="TriggerCellName" dataDxfId="4"/>
    <tableColumn id="4" xr3:uid="{14132DD0-E20F-4B14-9919-07971B576DF8}" name="TriggerValue" dataDxfId="3"/>
    <tableColumn id="5" xr3:uid="{B02B6FC1-46E5-48EA-96F8-C571C81B44A8}" name="リセットするセル名" dataDxfId="2"/>
    <tableColumn id="6" xr3:uid="{FE58AFE0-EA9E-4D38-8B67-CA1781FCBAC8}" name="色設定するセル名（入力不要セル）" dataDxfId="1"/>
    <tableColumn id="9" xr3:uid="{833BEBFD-A3F7-4CCB-9B6E-13C0FF43F8C0}" name="検索" dataDxfId="0">
      <calculatedColumnFormula>テーブル2[[#This Row],[No.]]&amp;"_"&amp;テーブル2[[#This Row],[TriggerValue]]</calculatedColumnFormula>
    </tableColumn>
  </tableColumns>
  <tableStyleInfo name="TableStyleMedium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60762-D891-46B9-BAA7-C0110FC850EA}">
  <sheetPr codeName="Sheet6"/>
  <dimension ref="A1:I64"/>
  <sheetViews>
    <sheetView workbookViewId="0"/>
  </sheetViews>
  <sheetFormatPr defaultRowHeight="18.75" x14ac:dyDescent="0.4"/>
  <cols>
    <col min="1" max="1" width="28.625" style="33" customWidth="1"/>
    <col min="2" max="9" width="15.875" style="33" bestFit="1" customWidth="1"/>
    <col min="10" max="16384" width="9" style="33"/>
  </cols>
  <sheetData>
    <row r="1" spans="1:2" x14ac:dyDescent="0.4">
      <c r="A1" s="33" t="s">
        <v>1346</v>
      </c>
      <c r="B1" s="33" t="s">
        <v>1347</v>
      </c>
    </row>
    <row r="2" spans="1:2" x14ac:dyDescent="0.4">
      <c r="A2" s="33" t="s">
        <v>1348</v>
      </c>
      <c r="B2" s="33">
        <v>50053</v>
      </c>
    </row>
    <row r="3" spans="1:2" x14ac:dyDescent="0.4">
      <c r="A3" s="33" t="s">
        <v>1349</v>
      </c>
      <c r="B3" s="33">
        <v>50053</v>
      </c>
    </row>
    <row r="4" spans="1:2" x14ac:dyDescent="0.4">
      <c r="A4" s="33" t="s">
        <v>1350</v>
      </c>
      <c r="B4" s="33">
        <v>13383</v>
      </c>
    </row>
    <row r="5" spans="1:2" x14ac:dyDescent="0.4">
      <c r="A5" s="33" t="s">
        <v>1351</v>
      </c>
      <c r="B5" s="33">
        <v>5634</v>
      </c>
    </row>
    <row r="6" spans="1:2" x14ac:dyDescent="0.4">
      <c r="A6" s="33" t="s">
        <v>1352</v>
      </c>
      <c r="B6" s="33">
        <v>4583</v>
      </c>
    </row>
    <row r="7" spans="1:2" x14ac:dyDescent="0.4">
      <c r="A7" s="33" t="s">
        <v>1353</v>
      </c>
      <c r="B7" s="33">
        <v>5212</v>
      </c>
    </row>
    <row r="8" spans="1:2" x14ac:dyDescent="0.4">
      <c r="A8" s="33" t="s">
        <v>1216</v>
      </c>
      <c r="B8" s="33">
        <v>0</v>
      </c>
    </row>
    <row r="9" spans="1:2" x14ac:dyDescent="0.4">
      <c r="A9" s="33" t="s">
        <v>1354</v>
      </c>
      <c r="B9" s="33">
        <v>21241</v>
      </c>
    </row>
    <row r="10" spans="1:2" x14ac:dyDescent="0.4">
      <c r="A10" s="33" t="s">
        <v>1355</v>
      </c>
      <c r="B10" s="33">
        <v>0</v>
      </c>
    </row>
    <row r="11" spans="1:2" x14ac:dyDescent="0.4">
      <c r="A11" s="33" t="s">
        <v>1356</v>
      </c>
      <c r="B11" s="33">
        <v>0</v>
      </c>
    </row>
    <row r="12" spans="1:2" x14ac:dyDescent="0.4">
      <c r="A12" s="33" t="s">
        <v>1357</v>
      </c>
      <c r="B12" s="33">
        <v>0</v>
      </c>
    </row>
    <row r="13" spans="1:2" x14ac:dyDescent="0.4">
      <c r="A13" s="33" t="s">
        <v>1358</v>
      </c>
      <c r="B13" s="33">
        <v>0</v>
      </c>
    </row>
    <row r="14" spans="1:2" x14ac:dyDescent="0.4">
      <c r="A14" s="33" t="s">
        <v>1359</v>
      </c>
      <c r="B14" s="33">
        <v>0</v>
      </c>
    </row>
    <row r="15" spans="1:2" x14ac:dyDescent="0.4">
      <c r="A15" s="33" t="s">
        <v>1360</v>
      </c>
      <c r="B15" s="33">
        <v>0</v>
      </c>
    </row>
    <row r="16" spans="1:2" x14ac:dyDescent="0.4">
      <c r="A16" s="33" t="s">
        <v>1361</v>
      </c>
      <c r="B16" s="33">
        <v>0</v>
      </c>
    </row>
    <row r="17" spans="1:2" x14ac:dyDescent="0.4">
      <c r="A17" s="33" t="s">
        <v>1362</v>
      </c>
      <c r="B17" s="33">
        <v>0</v>
      </c>
    </row>
    <row r="18" spans="1:2" x14ac:dyDescent="0.4">
      <c r="A18" s="33" t="s">
        <v>1363</v>
      </c>
      <c r="B18" s="33">
        <v>0.87</v>
      </c>
    </row>
    <row r="19" spans="1:2" x14ac:dyDescent="0.4">
      <c r="A19" s="33" t="s">
        <v>1364</v>
      </c>
      <c r="B19" s="33">
        <v>2.8</v>
      </c>
    </row>
    <row r="20" spans="1:2" x14ac:dyDescent="0.4">
      <c r="A20" s="33" t="s">
        <v>1365</v>
      </c>
      <c r="B20" s="33">
        <v>4.3</v>
      </c>
    </row>
    <row r="21" spans="1:2" x14ac:dyDescent="0.4">
      <c r="A21" s="33" t="s">
        <v>1366</v>
      </c>
      <c r="B21" s="33">
        <v>55562</v>
      </c>
    </row>
    <row r="22" spans="1:2" x14ac:dyDescent="0.4">
      <c r="A22" s="33" t="s">
        <v>1367</v>
      </c>
      <c r="B22" s="33">
        <v>13383</v>
      </c>
    </row>
    <row r="23" spans="1:2" x14ac:dyDescent="0.4">
      <c r="A23" s="33" t="s">
        <v>1368</v>
      </c>
      <c r="B23" s="33">
        <v>5634</v>
      </c>
    </row>
    <row r="24" spans="1:2" x14ac:dyDescent="0.4">
      <c r="A24" s="33" t="s">
        <v>1369</v>
      </c>
      <c r="B24" s="33">
        <v>4542</v>
      </c>
    </row>
    <row r="25" spans="1:2" x14ac:dyDescent="0.4">
      <c r="A25" s="33" t="s">
        <v>1370</v>
      </c>
      <c r="B25" s="33">
        <v>10763</v>
      </c>
    </row>
    <row r="26" spans="1:2" x14ac:dyDescent="0.4">
      <c r="A26" s="33" t="s">
        <v>1371</v>
      </c>
      <c r="B26" s="33">
        <v>0</v>
      </c>
    </row>
    <row r="27" spans="1:2" x14ac:dyDescent="0.4">
      <c r="A27" s="33" t="s">
        <v>1372</v>
      </c>
      <c r="B27" s="33">
        <v>21241</v>
      </c>
    </row>
    <row r="28" spans="1:2" x14ac:dyDescent="0.4">
      <c r="A28" s="33" t="s">
        <v>1373</v>
      </c>
      <c r="B28" s="33">
        <v>4690</v>
      </c>
    </row>
    <row r="29" spans="1:2" x14ac:dyDescent="0.4">
      <c r="A29" s="33" t="s">
        <v>1374</v>
      </c>
      <c r="B29" s="33">
        <v>3852</v>
      </c>
    </row>
    <row r="30" spans="1:2" x14ac:dyDescent="0.4">
      <c r="A30" s="33" t="s">
        <v>1375</v>
      </c>
      <c r="B30" s="33">
        <v>0</v>
      </c>
    </row>
    <row r="31" spans="1:2" x14ac:dyDescent="0.4">
      <c r="A31" s="33" t="s">
        <v>1376</v>
      </c>
      <c r="B31" s="33">
        <v>0</v>
      </c>
    </row>
    <row r="32" spans="1:2" x14ac:dyDescent="0.4">
      <c r="A32" s="33" t="s">
        <v>1377</v>
      </c>
      <c r="B32" s="33">
        <v>427</v>
      </c>
    </row>
    <row r="33" spans="1:2" x14ac:dyDescent="0.4">
      <c r="A33" s="33" t="s">
        <v>1378</v>
      </c>
      <c r="B33" s="33">
        <v>50.1</v>
      </c>
    </row>
    <row r="34" spans="1:2" x14ac:dyDescent="0.4">
      <c r="A34" s="33" t="s">
        <v>1379</v>
      </c>
      <c r="B34" s="33">
        <v>50.1</v>
      </c>
    </row>
    <row r="35" spans="1:2" x14ac:dyDescent="0.4">
      <c r="A35" s="33" t="s">
        <v>1380</v>
      </c>
      <c r="B35" s="33">
        <v>50.1</v>
      </c>
    </row>
    <row r="36" spans="1:2" x14ac:dyDescent="0.4">
      <c r="A36" s="33" t="s">
        <v>1381</v>
      </c>
      <c r="B36" s="33">
        <v>50.1</v>
      </c>
    </row>
    <row r="37" spans="1:2" x14ac:dyDescent="0.4">
      <c r="A37" s="33" t="s">
        <v>1382</v>
      </c>
      <c r="B37" s="33">
        <v>28.9</v>
      </c>
    </row>
    <row r="38" spans="1:2" x14ac:dyDescent="0.4">
      <c r="A38" s="33" t="s">
        <v>1383</v>
      </c>
      <c r="B38" s="33">
        <v>28.9</v>
      </c>
    </row>
    <row r="39" spans="1:2" x14ac:dyDescent="0.4">
      <c r="A39" s="33" t="s">
        <v>1384</v>
      </c>
      <c r="B39" s="33">
        <v>28.9</v>
      </c>
    </row>
    <row r="40" spans="1:2" x14ac:dyDescent="0.4">
      <c r="A40" s="33" t="s">
        <v>1385</v>
      </c>
      <c r="B40" s="33">
        <v>28.9</v>
      </c>
    </row>
    <row r="41" spans="1:2" x14ac:dyDescent="0.4">
      <c r="A41" s="33" t="s">
        <v>1386</v>
      </c>
      <c r="B41" s="33">
        <v>55.6</v>
      </c>
    </row>
    <row r="42" spans="1:2" x14ac:dyDescent="0.4">
      <c r="A42" s="33" t="s">
        <v>1387</v>
      </c>
      <c r="B42" s="33">
        <v>59</v>
      </c>
    </row>
    <row r="43" spans="1:2" x14ac:dyDescent="0.4">
      <c r="A43" s="33" t="s">
        <v>1388</v>
      </c>
      <c r="B43" s="33">
        <v>48.7</v>
      </c>
    </row>
    <row r="44" spans="1:2" x14ac:dyDescent="0.4">
      <c r="A44" s="33" t="s">
        <v>1389</v>
      </c>
      <c r="B44" s="33">
        <v>55.6</v>
      </c>
    </row>
    <row r="45" spans="1:2" x14ac:dyDescent="0.4">
      <c r="A45" s="33" t="s">
        <v>1390</v>
      </c>
      <c r="B45" s="33">
        <v>48.7</v>
      </c>
    </row>
    <row r="46" spans="1:2" x14ac:dyDescent="0.4">
      <c r="A46" s="33" t="s">
        <v>1391</v>
      </c>
      <c r="B46" s="33">
        <v>52.2</v>
      </c>
    </row>
    <row r="47" spans="1:2" x14ac:dyDescent="0.4">
      <c r="A47" s="33" t="s">
        <v>1392</v>
      </c>
      <c r="B47" s="33">
        <v>38.5</v>
      </c>
    </row>
    <row r="48" spans="1:2" x14ac:dyDescent="0.4">
      <c r="A48" s="33" t="s">
        <v>1393</v>
      </c>
      <c r="B48" s="33">
        <v>34.4</v>
      </c>
    </row>
    <row r="49" spans="1:9" x14ac:dyDescent="0.4">
      <c r="A49" s="33" t="s">
        <v>1394</v>
      </c>
      <c r="B49" s="33">
        <v>34.4</v>
      </c>
    </row>
    <row r="50" spans="1:9" x14ac:dyDescent="0.4">
      <c r="A50" s="33" t="s">
        <v>1395</v>
      </c>
      <c r="B50" s="33" t="s">
        <v>1396</v>
      </c>
    </row>
    <row r="51" spans="1:9" x14ac:dyDescent="0.4">
      <c r="A51" s="33" t="s">
        <v>1397</v>
      </c>
      <c r="B51" s="33" t="s">
        <v>1396</v>
      </c>
    </row>
    <row r="52" spans="1:9" x14ac:dyDescent="0.4">
      <c r="A52" s="33" t="s">
        <v>1398</v>
      </c>
      <c r="B52" s="33" t="s">
        <v>1399</v>
      </c>
    </row>
    <row r="53" spans="1:9" x14ac:dyDescent="0.4">
      <c r="A53" s="33" t="s">
        <v>1400</v>
      </c>
      <c r="B53" s="33" t="s">
        <v>1396</v>
      </c>
    </row>
    <row r="54" spans="1:9" x14ac:dyDescent="0.4">
      <c r="A54" s="33" t="s">
        <v>1401</v>
      </c>
      <c r="B54" s="33" t="s">
        <v>1399</v>
      </c>
    </row>
    <row r="55" spans="1:9" x14ac:dyDescent="0.4">
      <c r="A55" s="33" t="s">
        <v>1402</v>
      </c>
      <c r="B55" s="33" t="s">
        <v>1396</v>
      </c>
    </row>
    <row r="56" spans="1:9" x14ac:dyDescent="0.4">
      <c r="A56" s="33" t="s">
        <v>1403</v>
      </c>
      <c r="B56" s="33" t="s">
        <v>1399</v>
      </c>
    </row>
    <row r="57" spans="1:9" x14ac:dyDescent="0.4">
      <c r="A57" s="33" t="s">
        <v>1404</v>
      </c>
      <c r="B57" s="33">
        <v>0.85</v>
      </c>
    </row>
    <row r="58" spans="1:9" x14ac:dyDescent="0.4">
      <c r="A58" s="33" t="s">
        <v>1405</v>
      </c>
      <c r="B58" s="33">
        <v>0.85</v>
      </c>
    </row>
    <row r="59" spans="1:9" x14ac:dyDescent="0.4">
      <c r="A59" s="33" t="s">
        <v>1406</v>
      </c>
      <c r="B59" s="33">
        <v>0.85</v>
      </c>
    </row>
    <row r="60" spans="1:9" x14ac:dyDescent="0.4">
      <c r="A60" s="33" t="s">
        <v>1407</v>
      </c>
      <c r="B60" s="33">
        <v>0.85</v>
      </c>
    </row>
    <row r="61" spans="1:9" x14ac:dyDescent="0.4">
      <c r="A61" s="33" t="s">
        <v>1408</v>
      </c>
      <c r="B61" s="33">
        <v>0.85</v>
      </c>
    </row>
    <row r="62" spans="1:9" x14ac:dyDescent="0.4">
      <c r="A62" s="33" t="s">
        <v>1409</v>
      </c>
      <c r="B62" s="33" t="s">
        <v>1410</v>
      </c>
    </row>
    <row r="63" spans="1:9" x14ac:dyDescent="0.4">
      <c r="A63" s="33" t="s">
        <v>1411</v>
      </c>
      <c r="B63" s="33" t="s">
        <v>1459</v>
      </c>
    </row>
    <row r="64" spans="1:9" x14ac:dyDescent="0.4">
      <c r="A64" s="33" t="s">
        <v>1412</v>
      </c>
      <c r="B64" s="34">
        <v>46178.64366898148</v>
      </c>
      <c r="C64" s="34"/>
      <c r="D64" s="34"/>
      <c r="E64" s="34"/>
      <c r="F64" s="34"/>
      <c r="G64" s="34"/>
      <c r="H64" s="34"/>
      <c r="I64" s="34"/>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38676-7F87-4146-A13E-C388863347B6}">
  <sheetPr codeName="Sheet5">
    <tabColor rgb="FFFFFF00"/>
  </sheetPr>
  <dimension ref="B2:L74"/>
  <sheetViews>
    <sheetView workbookViewId="0"/>
  </sheetViews>
  <sheetFormatPr defaultRowHeight="16.5" x14ac:dyDescent="0.4"/>
  <cols>
    <col min="1" max="1" width="5.375" style="6" customWidth="1"/>
    <col min="2" max="2" width="11.375" style="6" customWidth="1"/>
    <col min="3" max="3" width="10.375" style="6" customWidth="1"/>
    <col min="4" max="4" width="58.125" style="6" customWidth="1"/>
    <col min="5" max="16384" width="9" style="6"/>
  </cols>
  <sheetData>
    <row r="2" spans="2:12" x14ac:dyDescent="0.4">
      <c r="B2" s="94" t="s">
        <v>1207</v>
      </c>
      <c r="C2" s="94"/>
      <c r="D2" s="95" t="s">
        <v>1208</v>
      </c>
      <c r="E2" s="94"/>
      <c r="F2" s="94"/>
      <c r="G2" s="94"/>
      <c r="H2" s="94"/>
      <c r="I2" s="94"/>
      <c r="J2" s="94"/>
      <c r="K2" s="94"/>
      <c r="L2" s="94"/>
    </row>
    <row r="3" spans="2:12" x14ac:dyDescent="0.4">
      <c r="B3" s="132" t="s">
        <v>1209</v>
      </c>
      <c r="C3" s="94" t="s">
        <v>1210</v>
      </c>
      <c r="D3" s="95" t="s">
        <v>1211</v>
      </c>
      <c r="E3" s="94">
        <f>OUTPUT_RAW!B4</f>
        <v>13383</v>
      </c>
      <c r="F3" s="94">
        <f>OUTPUT_RAW!C4</f>
        <v>0</v>
      </c>
      <c r="G3" s="94">
        <f>OUTPUT_RAW!D4</f>
        <v>0</v>
      </c>
      <c r="H3" s="94">
        <f>OUTPUT_RAW!E4</f>
        <v>0</v>
      </c>
      <c r="I3" s="94">
        <f>OUTPUT_RAW!F4</f>
        <v>0</v>
      </c>
      <c r="J3" s="94">
        <f>OUTPUT_RAW!G4</f>
        <v>0</v>
      </c>
      <c r="K3" s="94">
        <f>OUTPUT_RAW!H4</f>
        <v>0</v>
      </c>
      <c r="L3" s="94">
        <f>OUTPUT_RAW!I4</f>
        <v>0</v>
      </c>
    </row>
    <row r="4" spans="2:12" x14ac:dyDescent="0.4">
      <c r="B4" s="133"/>
      <c r="C4" s="94" t="s">
        <v>1212</v>
      </c>
      <c r="D4" s="95" t="s">
        <v>1213</v>
      </c>
      <c r="E4" s="94">
        <f>OUTPUT_RAW!B5</f>
        <v>5634</v>
      </c>
      <c r="F4" s="94">
        <f>OUTPUT_RAW!C5</f>
        <v>0</v>
      </c>
      <c r="G4" s="94">
        <f>OUTPUT_RAW!D5</f>
        <v>0</v>
      </c>
      <c r="H4" s="94">
        <f>OUTPUT_RAW!E5</f>
        <v>0</v>
      </c>
      <c r="I4" s="94">
        <f>OUTPUT_RAW!F5</f>
        <v>0</v>
      </c>
      <c r="J4" s="94">
        <f>OUTPUT_RAW!G5</f>
        <v>0</v>
      </c>
      <c r="K4" s="94">
        <f>OUTPUT_RAW!H5</f>
        <v>0</v>
      </c>
      <c r="L4" s="94">
        <f>OUTPUT_RAW!I5</f>
        <v>0</v>
      </c>
    </row>
    <row r="5" spans="2:12" x14ac:dyDescent="0.4">
      <c r="B5" s="133"/>
      <c r="C5" s="94" t="s">
        <v>1214</v>
      </c>
      <c r="D5" s="95" t="s">
        <v>1215</v>
      </c>
      <c r="E5" s="94">
        <f>OUTPUT_RAW!B6</f>
        <v>4583</v>
      </c>
      <c r="F5" s="94">
        <f>OUTPUT_RAW!C6</f>
        <v>0</v>
      </c>
      <c r="G5" s="94">
        <f>OUTPUT_RAW!D6</f>
        <v>0</v>
      </c>
      <c r="H5" s="94">
        <f>OUTPUT_RAW!E6</f>
        <v>0</v>
      </c>
      <c r="I5" s="94">
        <f>OUTPUT_RAW!F6</f>
        <v>0</v>
      </c>
      <c r="J5" s="94">
        <f>OUTPUT_RAW!G6</f>
        <v>0</v>
      </c>
      <c r="K5" s="94">
        <f>OUTPUT_RAW!H6</f>
        <v>0</v>
      </c>
      <c r="L5" s="94">
        <f>OUTPUT_RAW!I6</f>
        <v>0</v>
      </c>
    </row>
    <row r="6" spans="2:12" x14ac:dyDescent="0.4">
      <c r="B6" s="133"/>
      <c r="C6" s="94" t="s">
        <v>1216</v>
      </c>
      <c r="D6" s="95" t="s">
        <v>1217</v>
      </c>
      <c r="E6" s="94">
        <f>OUTPUT_RAW!B8</f>
        <v>0</v>
      </c>
      <c r="F6" s="94">
        <f>OUTPUT_RAW!C8</f>
        <v>0</v>
      </c>
      <c r="G6" s="94">
        <f>OUTPUT_RAW!D8</f>
        <v>0</v>
      </c>
      <c r="H6" s="94">
        <f>OUTPUT_RAW!E8</f>
        <v>0</v>
      </c>
      <c r="I6" s="94">
        <f>OUTPUT_RAW!F8</f>
        <v>0</v>
      </c>
      <c r="J6" s="94">
        <f>OUTPUT_RAW!G8</f>
        <v>0</v>
      </c>
      <c r="K6" s="94">
        <f>OUTPUT_RAW!H8</f>
        <v>0</v>
      </c>
      <c r="L6" s="94">
        <f>OUTPUT_RAW!I8</f>
        <v>0</v>
      </c>
    </row>
    <row r="7" spans="2:12" x14ac:dyDescent="0.4">
      <c r="B7" s="133"/>
      <c r="C7" s="94" t="s">
        <v>1218</v>
      </c>
      <c r="D7" s="95" t="s">
        <v>1219</v>
      </c>
      <c r="E7" s="94">
        <f>OUTPUT_RAW!B7</f>
        <v>5212</v>
      </c>
      <c r="F7" s="94">
        <f>OUTPUT_RAW!C7</f>
        <v>0</v>
      </c>
      <c r="G7" s="94">
        <f>OUTPUT_RAW!D7</f>
        <v>0</v>
      </c>
      <c r="H7" s="94">
        <f>OUTPUT_RAW!E7</f>
        <v>0</v>
      </c>
      <c r="I7" s="94">
        <f>OUTPUT_RAW!F7</f>
        <v>0</v>
      </c>
      <c r="J7" s="94">
        <f>OUTPUT_RAW!G7</f>
        <v>0</v>
      </c>
      <c r="K7" s="94">
        <f>OUTPUT_RAW!H7</f>
        <v>0</v>
      </c>
      <c r="L7" s="94">
        <f>OUTPUT_RAW!I7</f>
        <v>0</v>
      </c>
    </row>
    <row r="8" spans="2:12" x14ac:dyDescent="0.4">
      <c r="B8" s="133"/>
      <c r="C8" s="94" t="s">
        <v>1220</v>
      </c>
      <c r="D8" s="95" t="s">
        <v>1221</v>
      </c>
      <c r="E8" s="94">
        <f>OUTPUT_RAW!B9</f>
        <v>21241</v>
      </c>
      <c r="F8" s="94">
        <f>OUTPUT_RAW!C9</f>
        <v>0</v>
      </c>
      <c r="G8" s="94">
        <f>OUTPUT_RAW!D9</f>
        <v>0</v>
      </c>
      <c r="H8" s="94">
        <f>OUTPUT_RAW!E9</f>
        <v>0</v>
      </c>
      <c r="I8" s="94">
        <f>OUTPUT_RAW!F9</f>
        <v>0</v>
      </c>
      <c r="J8" s="94">
        <f>OUTPUT_RAW!G9</f>
        <v>0</v>
      </c>
      <c r="K8" s="94">
        <f>OUTPUT_RAW!H9</f>
        <v>0</v>
      </c>
      <c r="L8" s="94">
        <f>OUTPUT_RAW!I9</f>
        <v>0</v>
      </c>
    </row>
    <row r="9" spans="2:12" ht="33" x14ac:dyDescent="0.4">
      <c r="B9" s="133"/>
      <c r="C9" s="94" t="s">
        <v>1222</v>
      </c>
      <c r="D9" s="95" t="s">
        <v>1223</v>
      </c>
      <c r="E9" s="94">
        <f>OUTPUT_RAW!B10</f>
        <v>0</v>
      </c>
      <c r="F9" s="94">
        <f>OUTPUT_RAW!C10</f>
        <v>0</v>
      </c>
      <c r="G9" s="94">
        <f>OUTPUT_RAW!D10</f>
        <v>0</v>
      </c>
      <c r="H9" s="94">
        <f>OUTPUT_RAW!E10</f>
        <v>0</v>
      </c>
      <c r="I9" s="94">
        <f>OUTPUT_RAW!F10</f>
        <v>0</v>
      </c>
      <c r="J9" s="94">
        <f>OUTPUT_RAW!G10</f>
        <v>0</v>
      </c>
      <c r="K9" s="94">
        <f>OUTPUT_RAW!H10</f>
        <v>0</v>
      </c>
      <c r="L9" s="94">
        <f>OUTPUT_RAW!I10</f>
        <v>0</v>
      </c>
    </row>
    <row r="10" spans="2:12" ht="33" x14ac:dyDescent="0.4">
      <c r="B10" s="133"/>
      <c r="C10" s="94" t="s">
        <v>1224</v>
      </c>
      <c r="D10" s="95" t="s">
        <v>1225</v>
      </c>
      <c r="E10" s="94">
        <f>OUTPUT_RAW!B11</f>
        <v>0</v>
      </c>
      <c r="F10" s="94">
        <f>OUTPUT_RAW!C11</f>
        <v>0</v>
      </c>
      <c r="G10" s="94">
        <f>OUTPUT_RAW!D11</f>
        <v>0</v>
      </c>
      <c r="H10" s="94">
        <f>OUTPUT_RAW!E11</f>
        <v>0</v>
      </c>
      <c r="I10" s="94">
        <f>OUTPUT_RAW!F11</f>
        <v>0</v>
      </c>
      <c r="J10" s="94">
        <f>OUTPUT_RAW!G11</f>
        <v>0</v>
      </c>
      <c r="K10" s="94">
        <f>OUTPUT_RAW!H11</f>
        <v>0</v>
      </c>
      <c r="L10" s="94">
        <f>OUTPUT_RAW!I11</f>
        <v>0</v>
      </c>
    </row>
    <row r="11" spans="2:12" ht="33" x14ac:dyDescent="0.4">
      <c r="B11" s="133"/>
      <c r="C11" s="94" t="s">
        <v>1226</v>
      </c>
      <c r="D11" s="95" t="s">
        <v>1227</v>
      </c>
      <c r="E11" s="94">
        <f>OUTPUT_RAW!B12</f>
        <v>0</v>
      </c>
      <c r="F11" s="94">
        <f>OUTPUT_RAW!C12</f>
        <v>0</v>
      </c>
      <c r="G11" s="94">
        <f>OUTPUT_RAW!D12</f>
        <v>0</v>
      </c>
      <c r="H11" s="94">
        <f>OUTPUT_RAW!E12</f>
        <v>0</v>
      </c>
      <c r="I11" s="94">
        <f>OUTPUT_RAW!F12</f>
        <v>0</v>
      </c>
      <c r="J11" s="94">
        <f>OUTPUT_RAW!G12</f>
        <v>0</v>
      </c>
      <c r="K11" s="94">
        <f>OUTPUT_RAW!H12</f>
        <v>0</v>
      </c>
      <c r="L11" s="94">
        <f>OUTPUT_RAW!I12</f>
        <v>0</v>
      </c>
    </row>
    <row r="12" spans="2:12" ht="33" x14ac:dyDescent="0.4">
      <c r="B12" s="133"/>
      <c r="C12" s="94" t="s">
        <v>1228</v>
      </c>
      <c r="D12" s="95" t="s">
        <v>1229</v>
      </c>
      <c r="E12" s="94">
        <f>OUTPUT_RAW!B13</f>
        <v>0</v>
      </c>
      <c r="F12" s="94">
        <f>OUTPUT_RAW!C13</f>
        <v>0</v>
      </c>
      <c r="G12" s="94">
        <f>OUTPUT_RAW!D13</f>
        <v>0</v>
      </c>
      <c r="H12" s="94">
        <f>OUTPUT_RAW!E13</f>
        <v>0</v>
      </c>
      <c r="I12" s="94">
        <f>OUTPUT_RAW!F13</f>
        <v>0</v>
      </c>
      <c r="J12" s="94">
        <f>OUTPUT_RAW!G13</f>
        <v>0</v>
      </c>
      <c r="K12" s="94">
        <f>OUTPUT_RAW!H13</f>
        <v>0</v>
      </c>
      <c r="L12" s="94">
        <f>OUTPUT_RAW!I13</f>
        <v>0</v>
      </c>
    </row>
    <row r="13" spans="2:12" x14ac:dyDescent="0.4">
      <c r="B13" s="133"/>
      <c r="C13" s="94" t="s">
        <v>1230</v>
      </c>
      <c r="D13" s="95" t="s">
        <v>1231</v>
      </c>
      <c r="E13" s="94">
        <f>OUTPUT_RAW!B14</f>
        <v>0</v>
      </c>
      <c r="F13" s="94">
        <f>OUTPUT_RAW!C14</f>
        <v>0</v>
      </c>
      <c r="G13" s="94">
        <f>OUTPUT_RAW!D14</f>
        <v>0</v>
      </c>
      <c r="H13" s="94">
        <f>OUTPUT_RAW!E14</f>
        <v>0</v>
      </c>
      <c r="I13" s="94">
        <f>OUTPUT_RAW!F14</f>
        <v>0</v>
      </c>
      <c r="J13" s="94">
        <f>OUTPUT_RAW!G14</f>
        <v>0</v>
      </c>
      <c r="K13" s="94">
        <f>OUTPUT_RAW!H14</f>
        <v>0</v>
      </c>
      <c r="L13" s="94">
        <f>OUTPUT_RAW!I14</f>
        <v>0</v>
      </c>
    </row>
    <row r="14" spans="2:12" x14ac:dyDescent="0.4">
      <c r="B14" s="133"/>
      <c r="C14" s="94" t="s">
        <v>1232</v>
      </c>
      <c r="D14" s="95" t="s">
        <v>1233</v>
      </c>
      <c r="E14" s="94">
        <f>OUTPUT_RAW!B15</f>
        <v>0</v>
      </c>
      <c r="F14" s="94">
        <f>OUTPUT_RAW!C15</f>
        <v>0</v>
      </c>
      <c r="G14" s="94">
        <f>OUTPUT_RAW!D15</f>
        <v>0</v>
      </c>
      <c r="H14" s="94">
        <f>OUTPUT_RAW!E15</f>
        <v>0</v>
      </c>
      <c r="I14" s="94">
        <f>OUTPUT_RAW!F15</f>
        <v>0</v>
      </c>
      <c r="J14" s="94">
        <f>OUTPUT_RAW!G15</f>
        <v>0</v>
      </c>
      <c r="K14" s="94">
        <f>OUTPUT_RAW!H15</f>
        <v>0</v>
      </c>
      <c r="L14" s="94">
        <f>OUTPUT_RAW!I15</f>
        <v>0</v>
      </c>
    </row>
    <row r="15" spans="2:12" x14ac:dyDescent="0.4">
      <c r="B15" s="133"/>
      <c r="C15" s="94" t="s">
        <v>1234</v>
      </c>
      <c r="D15" s="95" t="s">
        <v>1235</v>
      </c>
      <c r="E15" s="94">
        <f>OUTPUT_RAW!B16</f>
        <v>0</v>
      </c>
      <c r="F15" s="94">
        <f>OUTPUT_RAW!C16</f>
        <v>0</v>
      </c>
      <c r="G15" s="94">
        <f>OUTPUT_RAW!D16</f>
        <v>0</v>
      </c>
      <c r="H15" s="94">
        <f>OUTPUT_RAW!E16</f>
        <v>0</v>
      </c>
      <c r="I15" s="94">
        <f>OUTPUT_RAW!F16</f>
        <v>0</v>
      </c>
      <c r="J15" s="94">
        <f>OUTPUT_RAW!G16</f>
        <v>0</v>
      </c>
      <c r="K15" s="94">
        <f>OUTPUT_RAW!H16</f>
        <v>0</v>
      </c>
      <c r="L15" s="94">
        <f>OUTPUT_RAW!I16</f>
        <v>0</v>
      </c>
    </row>
    <row r="16" spans="2:12" x14ac:dyDescent="0.4">
      <c r="B16" s="133"/>
      <c r="C16" s="94" t="s">
        <v>1236</v>
      </c>
      <c r="D16" s="95" t="s">
        <v>1237</v>
      </c>
      <c r="E16" s="94">
        <f>OUTPUT_RAW!B17</f>
        <v>0</v>
      </c>
      <c r="F16" s="94">
        <f>OUTPUT_RAW!C17</f>
        <v>0</v>
      </c>
      <c r="G16" s="94">
        <f>OUTPUT_RAW!D17</f>
        <v>0</v>
      </c>
      <c r="H16" s="94">
        <f>OUTPUT_RAW!E17</f>
        <v>0</v>
      </c>
      <c r="I16" s="94">
        <f>OUTPUT_RAW!F17</f>
        <v>0</v>
      </c>
      <c r="J16" s="94">
        <f>OUTPUT_RAW!G17</f>
        <v>0</v>
      </c>
      <c r="K16" s="94">
        <f>OUTPUT_RAW!H17</f>
        <v>0</v>
      </c>
      <c r="L16" s="94">
        <f>OUTPUT_RAW!I17</f>
        <v>0</v>
      </c>
    </row>
    <row r="17" spans="2:12" ht="33" x14ac:dyDescent="0.4">
      <c r="B17" s="133"/>
      <c r="C17" s="94" t="s">
        <v>1238</v>
      </c>
      <c r="D17" s="95" t="s">
        <v>1239</v>
      </c>
      <c r="E17" s="94">
        <f>OUTPUT_RAW!B2</f>
        <v>50053</v>
      </c>
      <c r="F17" s="94">
        <f>OUTPUT_RAW!C2</f>
        <v>0</v>
      </c>
      <c r="G17" s="94">
        <f>OUTPUT_RAW!D2</f>
        <v>0</v>
      </c>
      <c r="H17" s="94">
        <f>OUTPUT_RAW!E2</f>
        <v>0</v>
      </c>
      <c r="I17" s="94">
        <f>OUTPUT_RAW!F2</f>
        <v>0</v>
      </c>
      <c r="J17" s="94">
        <f>OUTPUT_RAW!G2</f>
        <v>0</v>
      </c>
      <c r="K17" s="94">
        <f>OUTPUT_RAW!H2</f>
        <v>0</v>
      </c>
      <c r="L17" s="94">
        <f>OUTPUT_RAW!I2</f>
        <v>0</v>
      </c>
    </row>
    <row r="18" spans="2:12" ht="33" x14ac:dyDescent="0.4">
      <c r="B18" s="133"/>
      <c r="C18" s="94" t="s">
        <v>1240</v>
      </c>
      <c r="D18" s="95" t="s">
        <v>1241</v>
      </c>
      <c r="E18" s="94">
        <f>OUTPUT_RAW!B3</f>
        <v>50053</v>
      </c>
      <c r="F18" s="94">
        <f>OUTPUT_RAW!C3</f>
        <v>0</v>
      </c>
      <c r="G18" s="94">
        <f>OUTPUT_RAW!D3</f>
        <v>0</v>
      </c>
      <c r="H18" s="94">
        <f>OUTPUT_RAW!E3</f>
        <v>0</v>
      </c>
      <c r="I18" s="94">
        <f>OUTPUT_RAW!F3</f>
        <v>0</v>
      </c>
      <c r="J18" s="94">
        <f>OUTPUT_RAW!G3</f>
        <v>0</v>
      </c>
      <c r="K18" s="94">
        <f>OUTPUT_RAW!H3</f>
        <v>0</v>
      </c>
      <c r="L18" s="94">
        <f>OUTPUT_RAW!I3</f>
        <v>0</v>
      </c>
    </row>
    <row r="19" spans="2:12" x14ac:dyDescent="0.4">
      <c r="B19" s="96"/>
      <c r="C19" s="96"/>
      <c r="D19" s="97"/>
      <c r="E19" s="96"/>
      <c r="F19" s="96"/>
      <c r="G19" s="96"/>
      <c r="H19" s="96"/>
      <c r="I19" s="96"/>
      <c r="J19" s="96"/>
      <c r="K19" s="96"/>
      <c r="L19" s="96"/>
    </row>
    <row r="20" spans="2:12" x14ac:dyDescent="0.4">
      <c r="B20" s="132" t="s">
        <v>1242</v>
      </c>
      <c r="C20" s="94" t="s">
        <v>1243</v>
      </c>
      <c r="D20" s="95" t="s">
        <v>1244</v>
      </c>
      <c r="E20" s="94">
        <f>OUTPUT_RAW!B22</f>
        <v>13383</v>
      </c>
      <c r="F20" s="94">
        <f>OUTPUT_RAW!C22</f>
        <v>0</v>
      </c>
      <c r="G20" s="94">
        <f>OUTPUT_RAW!D22</f>
        <v>0</v>
      </c>
      <c r="H20" s="94">
        <f>OUTPUT_RAW!E22</f>
        <v>0</v>
      </c>
      <c r="I20" s="94">
        <f>OUTPUT_RAW!F22</f>
        <v>0</v>
      </c>
      <c r="J20" s="94">
        <f>OUTPUT_RAW!G22</f>
        <v>0</v>
      </c>
      <c r="K20" s="94">
        <f>OUTPUT_RAW!H22</f>
        <v>0</v>
      </c>
      <c r="L20" s="94">
        <f>OUTPUT_RAW!I22</f>
        <v>0</v>
      </c>
    </row>
    <row r="21" spans="2:12" x14ac:dyDescent="0.4">
      <c r="B21" s="133"/>
      <c r="C21" s="94" t="s">
        <v>1245</v>
      </c>
      <c r="D21" s="95" t="s">
        <v>1246</v>
      </c>
      <c r="E21" s="94">
        <f>OUTPUT_RAW!B23</f>
        <v>5634</v>
      </c>
      <c r="F21" s="94">
        <f>OUTPUT_RAW!C23</f>
        <v>0</v>
      </c>
      <c r="G21" s="94">
        <f>OUTPUT_RAW!D23</f>
        <v>0</v>
      </c>
      <c r="H21" s="94">
        <f>OUTPUT_RAW!E23</f>
        <v>0</v>
      </c>
      <c r="I21" s="94">
        <f>OUTPUT_RAW!F23</f>
        <v>0</v>
      </c>
      <c r="J21" s="94">
        <f>OUTPUT_RAW!G23</f>
        <v>0</v>
      </c>
      <c r="K21" s="94">
        <f>OUTPUT_RAW!H23</f>
        <v>0</v>
      </c>
      <c r="L21" s="94">
        <f>OUTPUT_RAW!I23</f>
        <v>0</v>
      </c>
    </row>
    <row r="22" spans="2:12" x14ac:dyDescent="0.4">
      <c r="B22" s="133"/>
      <c r="C22" s="94" t="s">
        <v>1247</v>
      </c>
      <c r="D22" s="95" t="s">
        <v>1248</v>
      </c>
      <c r="E22" s="94">
        <f>OUTPUT_RAW!B24</f>
        <v>4542</v>
      </c>
      <c r="F22" s="94">
        <f>OUTPUT_RAW!C24</f>
        <v>0</v>
      </c>
      <c r="G22" s="94">
        <f>OUTPUT_RAW!D24</f>
        <v>0</v>
      </c>
      <c r="H22" s="94">
        <f>OUTPUT_RAW!E24</f>
        <v>0</v>
      </c>
      <c r="I22" s="94">
        <f>OUTPUT_RAW!F24</f>
        <v>0</v>
      </c>
      <c r="J22" s="94">
        <f>OUTPUT_RAW!G24</f>
        <v>0</v>
      </c>
      <c r="K22" s="94">
        <f>OUTPUT_RAW!H24</f>
        <v>0</v>
      </c>
      <c r="L22" s="94">
        <f>OUTPUT_RAW!I24</f>
        <v>0</v>
      </c>
    </row>
    <row r="23" spans="2:12" x14ac:dyDescent="0.4">
      <c r="B23" s="133"/>
      <c r="C23" s="94" t="s">
        <v>1249</v>
      </c>
      <c r="D23" s="95" t="s">
        <v>1250</v>
      </c>
      <c r="E23" s="94">
        <f>OUTPUT_RAW!B26</f>
        <v>0</v>
      </c>
      <c r="F23" s="94">
        <f>OUTPUT_RAW!C26</f>
        <v>0</v>
      </c>
      <c r="G23" s="94">
        <f>OUTPUT_RAW!D26</f>
        <v>0</v>
      </c>
      <c r="H23" s="94">
        <f>OUTPUT_RAW!E26</f>
        <v>0</v>
      </c>
      <c r="I23" s="94">
        <f>OUTPUT_RAW!F26</f>
        <v>0</v>
      </c>
      <c r="J23" s="94">
        <f>OUTPUT_RAW!G26</f>
        <v>0</v>
      </c>
      <c r="K23" s="94">
        <f>OUTPUT_RAW!H26</f>
        <v>0</v>
      </c>
      <c r="L23" s="94">
        <f>OUTPUT_RAW!I26</f>
        <v>0</v>
      </c>
    </row>
    <row r="24" spans="2:12" x14ac:dyDescent="0.4">
      <c r="B24" s="133"/>
      <c r="C24" s="94" t="s">
        <v>1251</v>
      </c>
      <c r="D24" s="95" t="s">
        <v>1252</v>
      </c>
      <c r="E24" s="94">
        <f>OUTPUT_RAW!B25</f>
        <v>10763</v>
      </c>
      <c r="F24" s="94">
        <f>OUTPUT_RAW!C25</f>
        <v>0</v>
      </c>
      <c r="G24" s="94">
        <f>OUTPUT_RAW!D25</f>
        <v>0</v>
      </c>
      <c r="H24" s="94">
        <f>OUTPUT_RAW!E25</f>
        <v>0</v>
      </c>
      <c r="I24" s="94">
        <f>OUTPUT_RAW!F25</f>
        <v>0</v>
      </c>
      <c r="J24" s="94">
        <f>OUTPUT_RAW!G25</f>
        <v>0</v>
      </c>
      <c r="K24" s="94">
        <f>OUTPUT_RAW!H25</f>
        <v>0</v>
      </c>
      <c r="L24" s="94">
        <f>OUTPUT_RAW!I25</f>
        <v>0</v>
      </c>
    </row>
    <row r="25" spans="2:12" x14ac:dyDescent="0.4">
      <c r="B25" s="133"/>
      <c r="C25" s="94" t="s">
        <v>1253</v>
      </c>
      <c r="D25" s="95" t="s">
        <v>1254</v>
      </c>
      <c r="E25" s="94">
        <f>OUTPUT_RAW!B27</f>
        <v>21241</v>
      </c>
      <c r="F25" s="94">
        <f>OUTPUT_RAW!C27</f>
        <v>0</v>
      </c>
      <c r="G25" s="94">
        <f>OUTPUT_RAW!D27</f>
        <v>0</v>
      </c>
      <c r="H25" s="94">
        <f>OUTPUT_RAW!E27</f>
        <v>0</v>
      </c>
      <c r="I25" s="94">
        <f>OUTPUT_RAW!F27</f>
        <v>0</v>
      </c>
      <c r="J25" s="94">
        <f>OUTPUT_RAW!G27</f>
        <v>0</v>
      </c>
      <c r="K25" s="94">
        <f>OUTPUT_RAW!H27</f>
        <v>0</v>
      </c>
      <c r="L25" s="94">
        <f>OUTPUT_RAW!I27</f>
        <v>0</v>
      </c>
    </row>
    <row r="26" spans="2:12" x14ac:dyDescent="0.4">
      <c r="B26" s="133"/>
      <c r="C26" s="94" t="s">
        <v>1255</v>
      </c>
      <c r="D26" s="95" t="s">
        <v>1256</v>
      </c>
      <c r="E26" s="94">
        <f>OUTPUT_RAW!B21</f>
        <v>55562</v>
      </c>
      <c r="F26" s="94">
        <f>OUTPUT_RAW!C21</f>
        <v>0</v>
      </c>
      <c r="G26" s="94">
        <f>OUTPUT_RAW!D21</f>
        <v>0</v>
      </c>
      <c r="H26" s="94">
        <f>OUTPUT_RAW!E21</f>
        <v>0</v>
      </c>
      <c r="I26" s="94">
        <f>OUTPUT_RAW!F21</f>
        <v>0</v>
      </c>
      <c r="J26" s="94">
        <f>OUTPUT_RAW!G21</f>
        <v>0</v>
      </c>
      <c r="K26" s="94">
        <f>OUTPUT_RAW!H21</f>
        <v>0</v>
      </c>
      <c r="L26" s="94">
        <f>OUTPUT_RAW!I21</f>
        <v>0</v>
      </c>
    </row>
    <row r="27" spans="2:12" x14ac:dyDescent="0.4">
      <c r="B27" s="96"/>
      <c r="C27" s="96"/>
      <c r="D27" s="97"/>
      <c r="E27" s="96"/>
      <c r="F27" s="96"/>
      <c r="G27" s="96"/>
      <c r="H27" s="96"/>
      <c r="I27" s="96"/>
      <c r="J27" s="96"/>
      <c r="K27" s="96"/>
      <c r="L27" s="96"/>
    </row>
    <row r="28" spans="2:12" x14ac:dyDescent="0.4">
      <c r="B28" s="133" t="s">
        <v>1257</v>
      </c>
      <c r="C28" s="94" t="s">
        <v>1258</v>
      </c>
      <c r="D28" s="95" t="s">
        <v>1259</v>
      </c>
      <c r="E28" s="94">
        <f>OUTPUT_RAW!B18</f>
        <v>0.87</v>
      </c>
      <c r="F28" s="94">
        <f>OUTPUT_RAW!C18</f>
        <v>0</v>
      </c>
      <c r="G28" s="94">
        <f>OUTPUT_RAW!D18</f>
        <v>0</v>
      </c>
      <c r="H28" s="94">
        <f>OUTPUT_RAW!E18</f>
        <v>0</v>
      </c>
      <c r="I28" s="94">
        <f>OUTPUT_RAW!F18</f>
        <v>0</v>
      </c>
      <c r="J28" s="94">
        <f>OUTPUT_RAW!G18</f>
        <v>0</v>
      </c>
      <c r="K28" s="94">
        <f>OUTPUT_RAW!H18</f>
        <v>0</v>
      </c>
      <c r="L28" s="94">
        <f>OUTPUT_RAW!I18</f>
        <v>0</v>
      </c>
    </row>
    <row r="29" spans="2:12" x14ac:dyDescent="0.4">
      <c r="B29" s="133"/>
      <c r="C29" s="94" t="s">
        <v>1260</v>
      </c>
      <c r="D29" s="95" t="s">
        <v>1261</v>
      </c>
      <c r="E29" s="94">
        <f>OUTPUT_RAW!B19</f>
        <v>2.8</v>
      </c>
      <c r="F29" s="94">
        <f>OUTPUT_RAW!C19</f>
        <v>0</v>
      </c>
      <c r="G29" s="94">
        <f>OUTPUT_RAW!D19</f>
        <v>0</v>
      </c>
      <c r="H29" s="94">
        <f>OUTPUT_RAW!E19</f>
        <v>0</v>
      </c>
      <c r="I29" s="94">
        <f>OUTPUT_RAW!F19</f>
        <v>0</v>
      </c>
      <c r="J29" s="94">
        <f>OUTPUT_RAW!G19</f>
        <v>0</v>
      </c>
      <c r="K29" s="94">
        <f>OUTPUT_RAW!H19</f>
        <v>0</v>
      </c>
      <c r="L29" s="94">
        <f>OUTPUT_RAW!I19</f>
        <v>0</v>
      </c>
    </row>
    <row r="30" spans="2:12" x14ac:dyDescent="0.4">
      <c r="B30" s="133"/>
      <c r="C30" s="94" t="s">
        <v>1262</v>
      </c>
      <c r="D30" s="95" t="s">
        <v>1263</v>
      </c>
      <c r="E30" s="94">
        <f>OUTPUT_RAW!B20</f>
        <v>4.3</v>
      </c>
      <c r="F30" s="94">
        <f>OUTPUT_RAW!C20</f>
        <v>0</v>
      </c>
      <c r="G30" s="94">
        <f>OUTPUT_RAW!D20</f>
        <v>0</v>
      </c>
      <c r="H30" s="94">
        <f>OUTPUT_RAW!E20</f>
        <v>0</v>
      </c>
      <c r="I30" s="94">
        <f>OUTPUT_RAW!F20</f>
        <v>0</v>
      </c>
      <c r="J30" s="94">
        <f>OUTPUT_RAW!G20</f>
        <v>0</v>
      </c>
      <c r="K30" s="94">
        <f>OUTPUT_RAW!H20</f>
        <v>0</v>
      </c>
      <c r="L30" s="94">
        <f>OUTPUT_RAW!I20</f>
        <v>0</v>
      </c>
    </row>
    <row r="31" spans="2:12" x14ac:dyDescent="0.4">
      <c r="B31" s="96"/>
      <c r="C31" s="96"/>
      <c r="D31" s="97"/>
      <c r="E31" s="96"/>
      <c r="F31" s="96"/>
      <c r="G31" s="96"/>
      <c r="H31" s="96"/>
      <c r="I31" s="96"/>
      <c r="J31" s="96"/>
      <c r="K31" s="96"/>
      <c r="L31" s="96"/>
    </row>
    <row r="32" spans="2:12" ht="33" x14ac:dyDescent="0.4">
      <c r="B32" s="132" t="s">
        <v>1264</v>
      </c>
      <c r="C32" s="94" t="s">
        <v>1265</v>
      </c>
      <c r="D32" s="95" t="s">
        <v>1266</v>
      </c>
      <c r="E32" s="94">
        <f>OUTPUT_RAW!B33</f>
        <v>50.1</v>
      </c>
      <c r="F32" s="94">
        <f>OUTPUT_RAW!C33</f>
        <v>0</v>
      </c>
      <c r="G32" s="94">
        <f>OUTPUT_RAW!D33</f>
        <v>0</v>
      </c>
      <c r="H32" s="94">
        <f>OUTPUT_RAW!E33</f>
        <v>0</v>
      </c>
      <c r="I32" s="94">
        <f>OUTPUT_RAW!F33</f>
        <v>0</v>
      </c>
      <c r="J32" s="94">
        <f>OUTPUT_RAW!G33</f>
        <v>0</v>
      </c>
      <c r="K32" s="94">
        <f>OUTPUT_RAW!H33</f>
        <v>0</v>
      </c>
      <c r="L32" s="94">
        <f>OUTPUT_RAW!I33</f>
        <v>0</v>
      </c>
    </row>
    <row r="33" spans="2:12" x14ac:dyDescent="0.4">
      <c r="B33" s="133"/>
      <c r="C33" s="94" t="s">
        <v>1267</v>
      </c>
      <c r="D33" s="95" t="s">
        <v>1268</v>
      </c>
      <c r="E33" s="94">
        <f>OUTPUT_RAW!B34</f>
        <v>50.1</v>
      </c>
      <c r="F33" s="94">
        <f>OUTPUT_RAW!C34</f>
        <v>0</v>
      </c>
      <c r="G33" s="94">
        <f>OUTPUT_RAW!D34</f>
        <v>0</v>
      </c>
      <c r="H33" s="94">
        <f>OUTPUT_RAW!E34</f>
        <v>0</v>
      </c>
      <c r="I33" s="94">
        <f>OUTPUT_RAW!F34</f>
        <v>0</v>
      </c>
      <c r="J33" s="94">
        <f>OUTPUT_RAW!G34</f>
        <v>0</v>
      </c>
      <c r="K33" s="94">
        <f>OUTPUT_RAW!H34</f>
        <v>0</v>
      </c>
      <c r="L33" s="94">
        <f>OUTPUT_RAW!I34</f>
        <v>0</v>
      </c>
    </row>
    <row r="34" spans="2:12" ht="33" x14ac:dyDescent="0.4">
      <c r="B34" s="133"/>
      <c r="C34" s="94" t="s">
        <v>1269</v>
      </c>
      <c r="D34" s="95" t="s">
        <v>1270</v>
      </c>
      <c r="E34" s="94">
        <f>OUTPUT_RAW!B35</f>
        <v>50.1</v>
      </c>
      <c r="F34" s="94">
        <f>OUTPUT_RAW!C35</f>
        <v>0</v>
      </c>
      <c r="G34" s="94">
        <f>OUTPUT_RAW!D35</f>
        <v>0</v>
      </c>
      <c r="H34" s="94">
        <f>OUTPUT_RAW!E35</f>
        <v>0</v>
      </c>
      <c r="I34" s="94">
        <f>OUTPUT_RAW!F35</f>
        <v>0</v>
      </c>
      <c r="J34" s="94">
        <f>OUTPUT_RAW!G35</f>
        <v>0</v>
      </c>
      <c r="K34" s="94">
        <f>OUTPUT_RAW!H35</f>
        <v>0</v>
      </c>
      <c r="L34" s="94">
        <f>OUTPUT_RAW!I35</f>
        <v>0</v>
      </c>
    </row>
    <row r="35" spans="2:12" ht="33" x14ac:dyDescent="0.4">
      <c r="B35" s="133"/>
      <c r="C35" s="94" t="s">
        <v>1271</v>
      </c>
      <c r="D35" s="95" t="s">
        <v>1272</v>
      </c>
      <c r="E35" s="94">
        <f>OUTPUT_RAW!B36</f>
        <v>50.1</v>
      </c>
      <c r="F35" s="94">
        <f>OUTPUT_RAW!C36</f>
        <v>0</v>
      </c>
      <c r="G35" s="94">
        <f>OUTPUT_RAW!D36</f>
        <v>0</v>
      </c>
      <c r="H35" s="94">
        <f>OUTPUT_RAW!E36</f>
        <v>0</v>
      </c>
      <c r="I35" s="94">
        <f>OUTPUT_RAW!F36</f>
        <v>0</v>
      </c>
      <c r="J35" s="94">
        <f>OUTPUT_RAW!G36</f>
        <v>0</v>
      </c>
      <c r="K35" s="94">
        <f>OUTPUT_RAW!H36</f>
        <v>0</v>
      </c>
      <c r="L35" s="94">
        <f>OUTPUT_RAW!I36</f>
        <v>0</v>
      </c>
    </row>
    <row r="36" spans="2:12" ht="33" x14ac:dyDescent="0.4">
      <c r="B36" s="133"/>
      <c r="C36" s="94" t="s">
        <v>1273</v>
      </c>
      <c r="D36" s="95" t="s">
        <v>1274</v>
      </c>
      <c r="E36" s="94">
        <f>OUTPUT_RAW!B37</f>
        <v>28.9</v>
      </c>
      <c r="F36" s="94">
        <f>OUTPUT_RAW!C37</f>
        <v>0</v>
      </c>
      <c r="G36" s="94">
        <f>OUTPUT_RAW!D37</f>
        <v>0</v>
      </c>
      <c r="H36" s="94">
        <f>OUTPUT_RAW!E37</f>
        <v>0</v>
      </c>
      <c r="I36" s="94">
        <f>OUTPUT_RAW!F37</f>
        <v>0</v>
      </c>
      <c r="J36" s="94">
        <f>OUTPUT_RAW!G37</f>
        <v>0</v>
      </c>
      <c r="K36" s="94">
        <f>OUTPUT_RAW!H37</f>
        <v>0</v>
      </c>
      <c r="L36" s="94">
        <f>OUTPUT_RAW!I37</f>
        <v>0</v>
      </c>
    </row>
    <row r="37" spans="2:12" ht="33" x14ac:dyDescent="0.4">
      <c r="B37" s="133"/>
      <c r="C37" s="94" t="s">
        <v>1275</v>
      </c>
      <c r="D37" s="95" t="s">
        <v>1276</v>
      </c>
      <c r="E37" s="94">
        <f>OUTPUT_RAW!B38</f>
        <v>28.9</v>
      </c>
      <c r="F37" s="94">
        <f>OUTPUT_RAW!C38</f>
        <v>0</v>
      </c>
      <c r="G37" s="94">
        <f>OUTPUT_RAW!D38</f>
        <v>0</v>
      </c>
      <c r="H37" s="94">
        <f>OUTPUT_RAW!E38</f>
        <v>0</v>
      </c>
      <c r="I37" s="94">
        <f>OUTPUT_RAW!F38</f>
        <v>0</v>
      </c>
      <c r="J37" s="94">
        <f>OUTPUT_RAW!G38</f>
        <v>0</v>
      </c>
      <c r="K37" s="94">
        <f>OUTPUT_RAW!H38</f>
        <v>0</v>
      </c>
      <c r="L37" s="94">
        <f>OUTPUT_RAW!I38</f>
        <v>0</v>
      </c>
    </row>
    <row r="38" spans="2:12" ht="33" x14ac:dyDescent="0.4">
      <c r="B38" s="133"/>
      <c r="C38" s="94" t="s">
        <v>1277</v>
      </c>
      <c r="D38" s="95" t="s">
        <v>1278</v>
      </c>
      <c r="E38" s="94">
        <f>OUTPUT_RAW!B39</f>
        <v>28.9</v>
      </c>
      <c r="F38" s="94">
        <f>OUTPUT_RAW!C39</f>
        <v>0</v>
      </c>
      <c r="G38" s="94">
        <f>OUTPUT_RAW!D39</f>
        <v>0</v>
      </c>
      <c r="H38" s="94">
        <f>OUTPUT_RAW!E39</f>
        <v>0</v>
      </c>
      <c r="I38" s="94">
        <f>OUTPUT_RAW!F39</f>
        <v>0</v>
      </c>
      <c r="J38" s="94">
        <f>OUTPUT_RAW!G39</f>
        <v>0</v>
      </c>
      <c r="K38" s="94">
        <f>OUTPUT_RAW!H39</f>
        <v>0</v>
      </c>
      <c r="L38" s="94">
        <f>OUTPUT_RAW!I39</f>
        <v>0</v>
      </c>
    </row>
    <row r="39" spans="2:12" ht="49.5" x14ac:dyDescent="0.4">
      <c r="B39" s="133"/>
      <c r="C39" s="94" t="s">
        <v>1279</v>
      </c>
      <c r="D39" s="95" t="s">
        <v>1280</v>
      </c>
      <c r="E39" s="94">
        <f>OUTPUT_RAW!B40</f>
        <v>28.9</v>
      </c>
      <c r="F39" s="94">
        <f>OUTPUT_RAW!C40</f>
        <v>0</v>
      </c>
      <c r="G39" s="94">
        <f>OUTPUT_RAW!D40</f>
        <v>0</v>
      </c>
      <c r="H39" s="94">
        <f>OUTPUT_RAW!E40</f>
        <v>0</v>
      </c>
      <c r="I39" s="94">
        <f>OUTPUT_RAW!F40</f>
        <v>0</v>
      </c>
      <c r="J39" s="94">
        <f>OUTPUT_RAW!G40</f>
        <v>0</v>
      </c>
      <c r="K39" s="94">
        <f>OUTPUT_RAW!H40</f>
        <v>0</v>
      </c>
      <c r="L39" s="94">
        <f>OUTPUT_RAW!I40</f>
        <v>0</v>
      </c>
    </row>
    <row r="40" spans="2:12" x14ac:dyDescent="0.4">
      <c r="B40" s="96"/>
      <c r="C40" s="96"/>
      <c r="D40" s="97"/>
      <c r="E40" s="96"/>
      <c r="F40" s="96"/>
      <c r="G40" s="96"/>
      <c r="H40" s="96"/>
      <c r="I40" s="96"/>
      <c r="J40" s="96"/>
      <c r="K40" s="96"/>
      <c r="L40" s="96"/>
    </row>
    <row r="41" spans="2:12" ht="33" x14ac:dyDescent="0.4">
      <c r="B41" s="132" t="s">
        <v>1281</v>
      </c>
      <c r="C41" s="94" t="s">
        <v>1282</v>
      </c>
      <c r="D41" s="95" t="s">
        <v>1283</v>
      </c>
      <c r="E41" s="94">
        <f>OUTPUT_RAW!B41</f>
        <v>55.6</v>
      </c>
      <c r="F41" s="94">
        <f>OUTPUT_RAW!C41</f>
        <v>0</v>
      </c>
      <c r="G41" s="94">
        <f>OUTPUT_RAW!D41</f>
        <v>0</v>
      </c>
      <c r="H41" s="94">
        <f>OUTPUT_RAW!E41</f>
        <v>0</v>
      </c>
      <c r="I41" s="94">
        <f>OUTPUT_RAW!F41</f>
        <v>0</v>
      </c>
      <c r="J41" s="94">
        <f>OUTPUT_RAW!G41</f>
        <v>0</v>
      </c>
      <c r="K41" s="94">
        <f>OUTPUT_RAW!H41</f>
        <v>0</v>
      </c>
      <c r="L41" s="94">
        <f>OUTPUT_RAW!I41</f>
        <v>0</v>
      </c>
    </row>
    <row r="42" spans="2:12" ht="33" x14ac:dyDescent="0.4">
      <c r="B42" s="133"/>
      <c r="C42" s="94" t="s">
        <v>1284</v>
      </c>
      <c r="D42" s="95" t="s">
        <v>1285</v>
      </c>
      <c r="E42" s="94">
        <f>OUTPUT_RAW!B42</f>
        <v>59</v>
      </c>
      <c r="F42" s="94">
        <f>OUTPUT_RAW!C42</f>
        <v>0</v>
      </c>
      <c r="G42" s="94">
        <f>OUTPUT_RAW!D42</f>
        <v>0</v>
      </c>
      <c r="H42" s="94">
        <f>OUTPUT_RAW!E42</f>
        <v>0</v>
      </c>
      <c r="I42" s="94">
        <f>OUTPUT_RAW!F42</f>
        <v>0</v>
      </c>
      <c r="J42" s="94">
        <f>OUTPUT_RAW!G42</f>
        <v>0</v>
      </c>
      <c r="K42" s="94">
        <f>OUTPUT_RAW!H42</f>
        <v>0</v>
      </c>
      <c r="L42" s="94">
        <f>OUTPUT_RAW!I42</f>
        <v>0</v>
      </c>
    </row>
    <row r="43" spans="2:12" ht="33" x14ac:dyDescent="0.4">
      <c r="B43" s="133"/>
      <c r="C43" s="94" t="s">
        <v>1286</v>
      </c>
      <c r="D43" s="95" t="s">
        <v>1287</v>
      </c>
      <c r="E43" s="94">
        <f>OUTPUT_RAW!B43</f>
        <v>48.7</v>
      </c>
      <c r="F43" s="94">
        <f>OUTPUT_RAW!C43</f>
        <v>0</v>
      </c>
      <c r="G43" s="94">
        <f>OUTPUT_RAW!D43</f>
        <v>0</v>
      </c>
      <c r="H43" s="94">
        <f>OUTPUT_RAW!E43</f>
        <v>0</v>
      </c>
      <c r="I43" s="94">
        <f>OUTPUT_RAW!F43</f>
        <v>0</v>
      </c>
      <c r="J43" s="94">
        <f>OUTPUT_RAW!G43</f>
        <v>0</v>
      </c>
      <c r="K43" s="94">
        <f>OUTPUT_RAW!H43</f>
        <v>0</v>
      </c>
      <c r="L43" s="94">
        <f>OUTPUT_RAW!I43</f>
        <v>0</v>
      </c>
    </row>
    <row r="44" spans="2:12" ht="33" x14ac:dyDescent="0.4">
      <c r="B44" s="133"/>
      <c r="C44" s="94" t="s">
        <v>1288</v>
      </c>
      <c r="D44" s="95" t="s">
        <v>1289</v>
      </c>
      <c r="E44" s="94">
        <f>OUTPUT_RAW!B44</f>
        <v>55.6</v>
      </c>
      <c r="F44" s="94">
        <f>OUTPUT_RAW!C44</f>
        <v>0</v>
      </c>
      <c r="G44" s="94">
        <f>OUTPUT_RAW!D44</f>
        <v>0</v>
      </c>
      <c r="H44" s="94">
        <f>OUTPUT_RAW!E44</f>
        <v>0</v>
      </c>
      <c r="I44" s="94">
        <f>OUTPUT_RAW!F44</f>
        <v>0</v>
      </c>
      <c r="J44" s="94">
        <f>OUTPUT_RAW!G44</f>
        <v>0</v>
      </c>
      <c r="K44" s="94">
        <f>OUTPUT_RAW!H44</f>
        <v>0</v>
      </c>
      <c r="L44" s="94">
        <f>OUTPUT_RAW!I44</f>
        <v>0</v>
      </c>
    </row>
    <row r="45" spans="2:12" ht="49.5" x14ac:dyDescent="0.4">
      <c r="B45" s="133"/>
      <c r="C45" s="94" t="s">
        <v>1290</v>
      </c>
      <c r="D45" s="95" t="s">
        <v>1291</v>
      </c>
      <c r="E45" s="94">
        <f>OUTPUT_RAW!B45</f>
        <v>48.7</v>
      </c>
      <c r="F45" s="94">
        <f>OUTPUT_RAW!C45</f>
        <v>0</v>
      </c>
      <c r="G45" s="94">
        <f>OUTPUT_RAW!D45</f>
        <v>0</v>
      </c>
      <c r="H45" s="94">
        <f>OUTPUT_RAW!E45</f>
        <v>0</v>
      </c>
      <c r="I45" s="94">
        <f>OUTPUT_RAW!F45</f>
        <v>0</v>
      </c>
      <c r="J45" s="94">
        <f>OUTPUT_RAW!G45</f>
        <v>0</v>
      </c>
      <c r="K45" s="94">
        <f>OUTPUT_RAW!H45</f>
        <v>0</v>
      </c>
      <c r="L45" s="94">
        <f>OUTPUT_RAW!I45</f>
        <v>0</v>
      </c>
    </row>
    <row r="46" spans="2:12" ht="49.5" x14ac:dyDescent="0.4">
      <c r="B46" s="133"/>
      <c r="C46" s="94" t="s">
        <v>1292</v>
      </c>
      <c r="D46" s="95" t="s">
        <v>1293</v>
      </c>
      <c r="E46" s="94">
        <f>OUTPUT_RAW!B46</f>
        <v>52.2</v>
      </c>
      <c r="F46" s="94">
        <f>OUTPUT_RAW!C46</f>
        <v>0</v>
      </c>
      <c r="G46" s="94">
        <f>OUTPUT_RAW!D46</f>
        <v>0</v>
      </c>
      <c r="H46" s="94">
        <f>OUTPUT_RAW!E46</f>
        <v>0</v>
      </c>
      <c r="I46" s="94">
        <f>OUTPUT_RAW!F46</f>
        <v>0</v>
      </c>
      <c r="J46" s="94">
        <f>OUTPUT_RAW!G46</f>
        <v>0</v>
      </c>
      <c r="K46" s="94">
        <f>OUTPUT_RAW!H46</f>
        <v>0</v>
      </c>
      <c r="L46" s="94">
        <f>OUTPUT_RAW!I46</f>
        <v>0</v>
      </c>
    </row>
    <row r="47" spans="2:12" ht="33" x14ac:dyDescent="0.4">
      <c r="B47" s="133"/>
      <c r="C47" s="94" t="s">
        <v>1294</v>
      </c>
      <c r="D47" s="95" t="s">
        <v>1295</v>
      </c>
      <c r="E47" s="94">
        <f>OUTPUT_RAW!B47</f>
        <v>38.5</v>
      </c>
      <c r="F47" s="94">
        <f>OUTPUT_RAW!C47</f>
        <v>0</v>
      </c>
      <c r="G47" s="94">
        <f>OUTPUT_RAW!D47</f>
        <v>0</v>
      </c>
      <c r="H47" s="94">
        <f>OUTPUT_RAW!E47</f>
        <v>0</v>
      </c>
      <c r="I47" s="94">
        <f>OUTPUT_RAW!F47</f>
        <v>0</v>
      </c>
      <c r="J47" s="94">
        <f>OUTPUT_RAW!G47</f>
        <v>0</v>
      </c>
      <c r="K47" s="94">
        <f>OUTPUT_RAW!H47</f>
        <v>0</v>
      </c>
      <c r="L47" s="94">
        <f>OUTPUT_RAW!I47</f>
        <v>0</v>
      </c>
    </row>
    <row r="48" spans="2:12" ht="33" x14ac:dyDescent="0.4">
      <c r="B48" s="133"/>
      <c r="C48" s="94" t="s">
        <v>1296</v>
      </c>
      <c r="D48" s="95" t="s">
        <v>1297</v>
      </c>
      <c r="E48" s="94">
        <f>OUTPUT_RAW!B48</f>
        <v>34.4</v>
      </c>
      <c r="F48" s="94">
        <f>OUTPUT_RAW!C48</f>
        <v>0</v>
      </c>
      <c r="G48" s="94">
        <f>OUTPUT_RAW!D48</f>
        <v>0</v>
      </c>
      <c r="H48" s="94">
        <f>OUTPUT_RAW!E48</f>
        <v>0</v>
      </c>
      <c r="I48" s="94">
        <f>OUTPUT_RAW!F48</f>
        <v>0</v>
      </c>
      <c r="J48" s="94">
        <f>OUTPUT_RAW!G48</f>
        <v>0</v>
      </c>
      <c r="K48" s="94">
        <f>OUTPUT_RAW!H48</f>
        <v>0</v>
      </c>
      <c r="L48" s="94">
        <f>OUTPUT_RAW!I48</f>
        <v>0</v>
      </c>
    </row>
    <row r="49" spans="2:12" ht="33" x14ac:dyDescent="0.4">
      <c r="B49" s="133"/>
      <c r="C49" s="94" t="s">
        <v>1298</v>
      </c>
      <c r="D49" s="95" t="s">
        <v>1299</v>
      </c>
      <c r="E49" s="94">
        <f>OUTPUT_RAW!B49</f>
        <v>34.4</v>
      </c>
      <c r="F49" s="94">
        <f>OUTPUT_RAW!C49</f>
        <v>0</v>
      </c>
      <c r="G49" s="94">
        <f>OUTPUT_RAW!D49</f>
        <v>0</v>
      </c>
      <c r="H49" s="94">
        <f>OUTPUT_RAW!E49</f>
        <v>0</v>
      </c>
      <c r="I49" s="94">
        <f>OUTPUT_RAW!F49</f>
        <v>0</v>
      </c>
      <c r="J49" s="94">
        <f>OUTPUT_RAW!G49</f>
        <v>0</v>
      </c>
      <c r="K49" s="94">
        <f>OUTPUT_RAW!H49</f>
        <v>0</v>
      </c>
      <c r="L49" s="94">
        <f>OUTPUT_RAW!I49</f>
        <v>0</v>
      </c>
    </row>
    <row r="50" spans="2:12" x14ac:dyDescent="0.4">
      <c r="B50" s="96"/>
      <c r="C50" s="96"/>
      <c r="D50" s="97"/>
      <c r="E50" s="96"/>
      <c r="F50" s="96"/>
      <c r="G50" s="96"/>
      <c r="H50" s="96"/>
      <c r="I50" s="96"/>
      <c r="J50" s="96"/>
      <c r="K50" s="96"/>
      <c r="L50" s="96"/>
    </row>
    <row r="51" spans="2:12" ht="33" x14ac:dyDescent="0.4">
      <c r="B51" s="132" t="s">
        <v>1300</v>
      </c>
      <c r="C51" s="94" t="s">
        <v>1301</v>
      </c>
      <c r="D51" s="95" t="s">
        <v>1302</v>
      </c>
      <c r="E51" s="94" t="str">
        <f>OUTPUT_RAW!B50</f>
        <v>達成</v>
      </c>
      <c r="F51" s="94">
        <f>OUTPUT_RAW!C50</f>
        <v>0</v>
      </c>
      <c r="G51" s="94">
        <f>OUTPUT_RAW!D50</f>
        <v>0</v>
      </c>
      <c r="H51" s="94">
        <f>OUTPUT_RAW!E50</f>
        <v>0</v>
      </c>
      <c r="I51" s="94">
        <f>OUTPUT_RAW!F50</f>
        <v>0</v>
      </c>
      <c r="J51" s="94">
        <f>OUTPUT_RAW!G50</f>
        <v>0</v>
      </c>
      <c r="K51" s="94">
        <f>OUTPUT_RAW!H50</f>
        <v>0</v>
      </c>
      <c r="L51" s="94">
        <f>OUTPUT_RAW!I50</f>
        <v>0</v>
      </c>
    </row>
    <row r="52" spans="2:12" ht="33" x14ac:dyDescent="0.4">
      <c r="B52" s="133"/>
      <c r="C52" s="94" t="s">
        <v>1303</v>
      </c>
      <c r="D52" s="95" t="s">
        <v>1304</v>
      </c>
      <c r="E52" s="94" t="str">
        <f>OUTPUT_RAW!B51</f>
        <v>達成</v>
      </c>
      <c r="F52" s="94">
        <f>OUTPUT_RAW!C51</f>
        <v>0</v>
      </c>
      <c r="G52" s="94">
        <f>OUTPUT_RAW!D51</f>
        <v>0</v>
      </c>
      <c r="H52" s="94">
        <f>OUTPUT_RAW!E51</f>
        <v>0</v>
      </c>
      <c r="I52" s="94">
        <f>OUTPUT_RAW!F51</f>
        <v>0</v>
      </c>
      <c r="J52" s="94">
        <f>OUTPUT_RAW!G51</f>
        <v>0</v>
      </c>
      <c r="K52" s="94">
        <f>OUTPUT_RAW!H51</f>
        <v>0</v>
      </c>
      <c r="L52" s="94">
        <f>OUTPUT_RAW!I51</f>
        <v>0</v>
      </c>
    </row>
    <row r="53" spans="2:12" ht="33" x14ac:dyDescent="0.4">
      <c r="B53" s="133"/>
      <c r="C53" s="94" t="s">
        <v>1305</v>
      </c>
      <c r="D53" s="95" t="s">
        <v>1306</v>
      </c>
      <c r="E53" s="94" t="str">
        <f>OUTPUT_RAW!B52</f>
        <v>非達成</v>
      </c>
      <c r="F53" s="94">
        <f>OUTPUT_RAW!C52</f>
        <v>0</v>
      </c>
      <c r="G53" s="94">
        <f>OUTPUT_RAW!D52</f>
        <v>0</v>
      </c>
      <c r="H53" s="94">
        <f>OUTPUT_RAW!E52</f>
        <v>0</v>
      </c>
      <c r="I53" s="94">
        <f>OUTPUT_RAW!F52</f>
        <v>0</v>
      </c>
      <c r="J53" s="94">
        <f>OUTPUT_RAW!G52</f>
        <v>0</v>
      </c>
      <c r="K53" s="94">
        <f>OUTPUT_RAW!H52</f>
        <v>0</v>
      </c>
      <c r="L53" s="94">
        <f>OUTPUT_RAW!I52</f>
        <v>0</v>
      </c>
    </row>
    <row r="54" spans="2:12" ht="33" x14ac:dyDescent="0.4">
      <c r="B54" s="133"/>
      <c r="C54" s="94" t="s">
        <v>1307</v>
      </c>
      <c r="D54" s="95" t="s">
        <v>1308</v>
      </c>
      <c r="E54" s="94" t="str">
        <f>OUTPUT_RAW!B53</f>
        <v>達成</v>
      </c>
      <c r="F54" s="94">
        <f>OUTPUT_RAW!C53</f>
        <v>0</v>
      </c>
      <c r="G54" s="94">
        <f>OUTPUT_RAW!D53</f>
        <v>0</v>
      </c>
      <c r="H54" s="94">
        <f>OUTPUT_RAW!E53</f>
        <v>0</v>
      </c>
      <c r="I54" s="94">
        <f>OUTPUT_RAW!F53</f>
        <v>0</v>
      </c>
      <c r="J54" s="94">
        <f>OUTPUT_RAW!G53</f>
        <v>0</v>
      </c>
      <c r="K54" s="94">
        <f>OUTPUT_RAW!H53</f>
        <v>0</v>
      </c>
      <c r="L54" s="94">
        <f>OUTPUT_RAW!I53</f>
        <v>0</v>
      </c>
    </row>
    <row r="55" spans="2:12" ht="33" x14ac:dyDescent="0.4">
      <c r="B55" s="133"/>
      <c r="C55" s="94" t="s">
        <v>1309</v>
      </c>
      <c r="D55" s="95" t="s">
        <v>1310</v>
      </c>
      <c r="E55" s="94" t="str">
        <f>OUTPUT_RAW!B54</f>
        <v>非達成</v>
      </c>
      <c r="F55" s="94">
        <f>OUTPUT_RAW!C54</f>
        <v>0</v>
      </c>
      <c r="G55" s="94">
        <f>OUTPUT_RAW!D54</f>
        <v>0</v>
      </c>
      <c r="H55" s="94">
        <f>OUTPUT_RAW!E54</f>
        <v>0</v>
      </c>
      <c r="I55" s="94">
        <f>OUTPUT_RAW!F54</f>
        <v>0</v>
      </c>
      <c r="J55" s="94">
        <f>OUTPUT_RAW!G54</f>
        <v>0</v>
      </c>
      <c r="K55" s="94">
        <f>OUTPUT_RAW!H54</f>
        <v>0</v>
      </c>
      <c r="L55" s="94">
        <f>OUTPUT_RAW!I54</f>
        <v>0</v>
      </c>
    </row>
    <row r="56" spans="2:12" ht="33" x14ac:dyDescent="0.4">
      <c r="B56" s="133"/>
      <c r="C56" s="94" t="s">
        <v>1311</v>
      </c>
      <c r="D56" s="95" t="s">
        <v>1312</v>
      </c>
      <c r="E56" s="94" t="str">
        <f>OUTPUT_RAW!B55</f>
        <v>達成</v>
      </c>
      <c r="F56" s="94">
        <f>OUTPUT_RAW!C55</f>
        <v>0</v>
      </c>
      <c r="G56" s="94">
        <f>OUTPUT_RAW!D55</f>
        <v>0</v>
      </c>
      <c r="H56" s="94">
        <f>OUTPUT_RAW!E55</f>
        <v>0</v>
      </c>
      <c r="I56" s="94">
        <f>OUTPUT_RAW!F55</f>
        <v>0</v>
      </c>
      <c r="J56" s="94">
        <f>OUTPUT_RAW!G55</f>
        <v>0</v>
      </c>
      <c r="K56" s="94">
        <f>OUTPUT_RAW!H55</f>
        <v>0</v>
      </c>
      <c r="L56" s="94">
        <f>OUTPUT_RAW!I55</f>
        <v>0</v>
      </c>
    </row>
    <row r="57" spans="2:12" x14ac:dyDescent="0.4">
      <c r="B57" s="133"/>
      <c r="C57" s="94" t="s">
        <v>1313</v>
      </c>
      <c r="D57" s="95" t="s">
        <v>1314</v>
      </c>
      <c r="E57" s="94" t="str">
        <f>OUTPUT_RAW!B56</f>
        <v>非達成</v>
      </c>
      <c r="F57" s="94">
        <f>OUTPUT_RAW!C56</f>
        <v>0</v>
      </c>
      <c r="G57" s="94">
        <f>OUTPUT_RAW!D56</f>
        <v>0</v>
      </c>
      <c r="H57" s="94">
        <f>OUTPUT_RAW!E56</f>
        <v>0</v>
      </c>
      <c r="I57" s="94">
        <f>OUTPUT_RAW!F56</f>
        <v>0</v>
      </c>
      <c r="J57" s="94">
        <f>OUTPUT_RAW!G56</f>
        <v>0</v>
      </c>
      <c r="K57" s="94">
        <f>OUTPUT_RAW!H56</f>
        <v>0</v>
      </c>
      <c r="L57" s="94">
        <f>OUTPUT_RAW!I56</f>
        <v>0</v>
      </c>
    </row>
    <row r="58" spans="2:12" x14ac:dyDescent="0.4">
      <c r="B58" s="96"/>
      <c r="C58" s="96"/>
      <c r="D58" s="97"/>
      <c r="E58" s="96"/>
      <c r="F58" s="96"/>
      <c r="G58" s="96"/>
      <c r="H58" s="96"/>
      <c r="I58" s="96"/>
      <c r="J58" s="96"/>
      <c r="K58" s="96"/>
      <c r="L58" s="96"/>
    </row>
    <row r="59" spans="2:12" x14ac:dyDescent="0.4">
      <c r="B59" s="132" t="s">
        <v>1315</v>
      </c>
      <c r="C59" s="94" t="s">
        <v>1316</v>
      </c>
      <c r="D59" s="95" t="s">
        <v>1317</v>
      </c>
      <c r="E59" s="94">
        <f>OUTPUT_RAW!B57</f>
        <v>0.85</v>
      </c>
      <c r="F59" s="94">
        <f>OUTPUT_RAW!C57</f>
        <v>0</v>
      </c>
      <c r="G59" s="94">
        <f>OUTPUT_RAW!D57</f>
        <v>0</v>
      </c>
      <c r="H59" s="94">
        <f>OUTPUT_RAW!E57</f>
        <v>0</v>
      </c>
      <c r="I59" s="94">
        <f>OUTPUT_RAW!F57</f>
        <v>0</v>
      </c>
      <c r="J59" s="94">
        <f>OUTPUT_RAW!G57</f>
        <v>0</v>
      </c>
      <c r="K59" s="94">
        <f>OUTPUT_RAW!H57</f>
        <v>0</v>
      </c>
      <c r="L59" s="94">
        <f>OUTPUT_RAW!I57</f>
        <v>0</v>
      </c>
    </row>
    <row r="60" spans="2:12" x14ac:dyDescent="0.4">
      <c r="B60" s="133"/>
      <c r="C60" s="94" t="s">
        <v>1318</v>
      </c>
      <c r="D60" s="95" t="s">
        <v>1319</v>
      </c>
      <c r="E60" s="94">
        <f>OUTPUT_RAW!B58</f>
        <v>0.85</v>
      </c>
      <c r="F60" s="94">
        <f>OUTPUT_RAW!C58</f>
        <v>0</v>
      </c>
      <c r="G60" s="94">
        <f>OUTPUT_RAW!D58</f>
        <v>0</v>
      </c>
      <c r="H60" s="94">
        <f>OUTPUT_RAW!E58</f>
        <v>0</v>
      </c>
      <c r="I60" s="94">
        <f>OUTPUT_RAW!F58</f>
        <v>0</v>
      </c>
      <c r="J60" s="94">
        <f>OUTPUT_RAW!G58</f>
        <v>0</v>
      </c>
      <c r="K60" s="94">
        <f>OUTPUT_RAW!H58</f>
        <v>0</v>
      </c>
      <c r="L60" s="94">
        <f>OUTPUT_RAW!I58</f>
        <v>0</v>
      </c>
    </row>
    <row r="61" spans="2:12" x14ac:dyDescent="0.4">
      <c r="B61" s="133"/>
      <c r="C61" s="94" t="s">
        <v>1320</v>
      </c>
      <c r="D61" s="95" t="s">
        <v>1321</v>
      </c>
      <c r="E61" s="94">
        <f>OUTPUT_RAW!B59</f>
        <v>0.85</v>
      </c>
      <c r="F61" s="94">
        <f>OUTPUT_RAW!C59</f>
        <v>0</v>
      </c>
      <c r="G61" s="94">
        <f>OUTPUT_RAW!D59</f>
        <v>0</v>
      </c>
      <c r="H61" s="94">
        <f>OUTPUT_RAW!E59</f>
        <v>0</v>
      </c>
      <c r="I61" s="94">
        <f>OUTPUT_RAW!F59</f>
        <v>0</v>
      </c>
      <c r="J61" s="94">
        <f>OUTPUT_RAW!G59</f>
        <v>0</v>
      </c>
      <c r="K61" s="94">
        <f>OUTPUT_RAW!H59</f>
        <v>0</v>
      </c>
      <c r="L61" s="94">
        <f>OUTPUT_RAW!I59</f>
        <v>0</v>
      </c>
    </row>
    <row r="62" spans="2:12" ht="33" x14ac:dyDescent="0.4">
      <c r="B62" s="133"/>
      <c r="C62" s="94" t="s">
        <v>1322</v>
      </c>
      <c r="D62" s="95" t="s">
        <v>1323</v>
      </c>
      <c r="E62" s="94">
        <f>OUTPUT_RAW!B60</f>
        <v>0.85</v>
      </c>
      <c r="F62" s="94">
        <f>OUTPUT_RAW!C60</f>
        <v>0</v>
      </c>
      <c r="G62" s="94">
        <f>OUTPUT_RAW!D60</f>
        <v>0</v>
      </c>
      <c r="H62" s="94">
        <f>OUTPUT_RAW!E60</f>
        <v>0</v>
      </c>
      <c r="I62" s="94">
        <f>OUTPUT_RAW!F60</f>
        <v>0</v>
      </c>
      <c r="J62" s="94">
        <f>OUTPUT_RAW!G60</f>
        <v>0</v>
      </c>
      <c r="K62" s="94">
        <f>OUTPUT_RAW!H60</f>
        <v>0</v>
      </c>
      <c r="L62" s="94">
        <f>OUTPUT_RAW!I60</f>
        <v>0</v>
      </c>
    </row>
    <row r="63" spans="2:12" ht="33" x14ac:dyDescent="0.4">
      <c r="B63" s="133"/>
      <c r="C63" s="94" t="s">
        <v>1324</v>
      </c>
      <c r="D63" s="95" t="s">
        <v>1325</v>
      </c>
      <c r="E63" s="94">
        <f>OUTPUT_RAW!B61</f>
        <v>0.85</v>
      </c>
      <c r="F63" s="94">
        <f>OUTPUT_RAW!C61</f>
        <v>0</v>
      </c>
      <c r="G63" s="94">
        <f>OUTPUT_RAW!D61</f>
        <v>0</v>
      </c>
      <c r="H63" s="94">
        <f>OUTPUT_RAW!E61</f>
        <v>0</v>
      </c>
      <c r="I63" s="94">
        <f>OUTPUT_RAW!F61</f>
        <v>0</v>
      </c>
      <c r="J63" s="94">
        <f>OUTPUT_RAW!G61</f>
        <v>0</v>
      </c>
      <c r="K63" s="94">
        <f>OUTPUT_RAW!H61</f>
        <v>0</v>
      </c>
      <c r="L63" s="94">
        <f>OUTPUT_RAW!I61</f>
        <v>0</v>
      </c>
    </row>
    <row r="64" spans="2:12" x14ac:dyDescent="0.4">
      <c r="B64" s="96"/>
      <c r="C64" s="96"/>
      <c r="D64" s="97"/>
      <c r="E64" s="96"/>
      <c r="F64" s="96"/>
      <c r="G64" s="96"/>
      <c r="H64" s="96"/>
      <c r="I64" s="96"/>
      <c r="J64" s="96"/>
      <c r="K64" s="96"/>
      <c r="L64" s="96"/>
    </row>
    <row r="65" spans="2:12" x14ac:dyDescent="0.4">
      <c r="B65" s="132" t="s">
        <v>1326</v>
      </c>
      <c r="C65" s="94" t="s">
        <v>1327</v>
      </c>
      <c r="D65" s="95" t="s">
        <v>1328</v>
      </c>
      <c r="E65" s="94">
        <f>OUTPUT_RAW!B28</f>
        <v>4690</v>
      </c>
      <c r="F65" s="94">
        <f>OUTPUT_RAW!C28</f>
        <v>0</v>
      </c>
      <c r="G65" s="94">
        <f>OUTPUT_RAW!D28</f>
        <v>0</v>
      </c>
      <c r="H65" s="94">
        <f>OUTPUT_RAW!E28</f>
        <v>0</v>
      </c>
      <c r="I65" s="94">
        <f>OUTPUT_RAW!F28</f>
        <v>0</v>
      </c>
      <c r="J65" s="94">
        <f>OUTPUT_RAW!G28</f>
        <v>0</v>
      </c>
      <c r="K65" s="94">
        <f>OUTPUT_RAW!H28</f>
        <v>0</v>
      </c>
      <c r="L65" s="94">
        <f>OUTPUT_RAW!I28</f>
        <v>0</v>
      </c>
    </row>
    <row r="66" spans="2:12" x14ac:dyDescent="0.4">
      <c r="B66" s="133"/>
      <c r="C66" s="94" t="s">
        <v>1329</v>
      </c>
      <c r="D66" s="95" t="s">
        <v>1330</v>
      </c>
      <c r="E66" s="94">
        <f>OUTPUT_RAW!B29</f>
        <v>3852</v>
      </c>
      <c r="F66" s="94">
        <f>OUTPUT_RAW!C29</f>
        <v>0</v>
      </c>
      <c r="G66" s="94">
        <f>OUTPUT_RAW!D29</f>
        <v>0</v>
      </c>
      <c r="H66" s="94">
        <f>OUTPUT_RAW!E29</f>
        <v>0</v>
      </c>
      <c r="I66" s="94">
        <f>OUTPUT_RAW!F29</f>
        <v>0</v>
      </c>
      <c r="J66" s="94">
        <f>OUTPUT_RAW!G29</f>
        <v>0</v>
      </c>
      <c r="K66" s="94">
        <f>OUTPUT_RAW!H29</f>
        <v>0</v>
      </c>
      <c r="L66" s="94">
        <f>OUTPUT_RAW!I29</f>
        <v>0</v>
      </c>
    </row>
    <row r="67" spans="2:12" x14ac:dyDescent="0.4">
      <c r="B67" s="133"/>
      <c r="C67" s="94" t="s">
        <v>1331</v>
      </c>
      <c r="D67" s="95" t="s">
        <v>1332</v>
      </c>
      <c r="E67" s="94">
        <f>OUTPUT_RAW!B30</f>
        <v>0</v>
      </c>
      <c r="F67" s="94">
        <f>OUTPUT_RAW!C30</f>
        <v>0</v>
      </c>
      <c r="G67" s="94">
        <f>OUTPUT_RAW!D30</f>
        <v>0</v>
      </c>
      <c r="H67" s="94">
        <f>OUTPUT_RAW!E30</f>
        <v>0</v>
      </c>
      <c r="I67" s="94">
        <f>OUTPUT_RAW!F30</f>
        <v>0</v>
      </c>
      <c r="J67" s="94">
        <f>OUTPUT_RAW!G30</f>
        <v>0</v>
      </c>
      <c r="K67" s="94">
        <f>OUTPUT_RAW!H30</f>
        <v>0</v>
      </c>
      <c r="L67" s="94">
        <f>OUTPUT_RAW!I30</f>
        <v>0</v>
      </c>
    </row>
    <row r="68" spans="2:12" x14ac:dyDescent="0.4">
      <c r="B68" s="133"/>
      <c r="C68" s="94" t="s">
        <v>1333</v>
      </c>
      <c r="D68" s="95" t="s">
        <v>1334</v>
      </c>
      <c r="E68" s="94">
        <f>OUTPUT_RAW!B31</f>
        <v>0</v>
      </c>
      <c r="F68" s="94">
        <f>OUTPUT_RAW!C31</f>
        <v>0</v>
      </c>
      <c r="G68" s="94">
        <f>OUTPUT_RAW!D31</f>
        <v>0</v>
      </c>
      <c r="H68" s="94">
        <f>OUTPUT_RAW!E31</f>
        <v>0</v>
      </c>
      <c r="I68" s="94">
        <f>OUTPUT_RAW!F31</f>
        <v>0</v>
      </c>
      <c r="J68" s="94">
        <f>OUTPUT_RAW!G31</f>
        <v>0</v>
      </c>
      <c r="K68" s="94">
        <f>OUTPUT_RAW!H31</f>
        <v>0</v>
      </c>
      <c r="L68" s="94">
        <f>OUTPUT_RAW!I31</f>
        <v>0</v>
      </c>
    </row>
    <row r="69" spans="2:12" x14ac:dyDescent="0.4">
      <c r="B69" s="133"/>
      <c r="C69" s="94" t="s">
        <v>1335</v>
      </c>
      <c r="D69" s="95" t="s">
        <v>1336</v>
      </c>
      <c r="E69" s="94">
        <f>OUTPUT_RAW!B32</f>
        <v>427</v>
      </c>
      <c r="F69" s="94">
        <f>OUTPUT_RAW!C32</f>
        <v>0</v>
      </c>
      <c r="G69" s="94">
        <f>OUTPUT_RAW!D32</f>
        <v>0</v>
      </c>
      <c r="H69" s="94">
        <f>OUTPUT_RAW!E32</f>
        <v>0</v>
      </c>
      <c r="I69" s="94">
        <f>OUTPUT_RAW!F32</f>
        <v>0</v>
      </c>
      <c r="J69" s="94">
        <f>OUTPUT_RAW!G32</f>
        <v>0</v>
      </c>
      <c r="K69" s="94">
        <f>OUTPUT_RAW!H32</f>
        <v>0</v>
      </c>
      <c r="L69" s="94">
        <f>OUTPUT_RAW!I32</f>
        <v>0</v>
      </c>
    </row>
    <row r="70" spans="2:12" x14ac:dyDescent="0.4">
      <c r="B70" s="96"/>
      <c r="C70" s="96"/>
      <c r="D70" s="97"/>
      <c r="E70" s="96"/>
      <c r="F70" s="96"/>
      <c r="G70" s="96"/>
      <c r="H70" s="96"/>
      <c r="I70" s="96"/>
      <c r="J70" s="96"/>
      <c r="K70" s="96"/>
      <c r="L70" s="96"/>
    </row>
    <row r="71" spans="2:12" x14ac:dyDescent="0.4">
      <c r="B71" s="133" t="s">
        <v>1337</v>
      </c>
      <c r="C71" s="94" t="s">
        <v>1338</v>
      </c>
      <c r="D71" s="95" t="s">
        <v>1339</v>
      </c>
      <c r="E71" s="94" t="str">
        <f>OUTPUT_RAW!B62</f>
        <v>住宅版</v>
      </c>
      <c r="F71" s="94">
        <f>OUTPUT_RAW!C62</f>
        <v>0</v>
      </c>
      <c r="G71" s="94">
        <f>OUTPUT_RAW!D62</f>
        <v>0</v>
      </c>
      <c r="H71" s="94">
        <f>OUTPUT_RAW!E62</f>
        <v>0</v>
      </c>
      <c r="I71" s="94">
        <f>OUTPUT_RAW!F62</f>
        <v>0</v>
      </c>
      <c r="J71" s="94">
        <f>OUTPUT_RAW!G62</f>
        <v>0</v>
      </c>
      <c r="K71" s="94">
        <f>OUTPUT_RAW!H62</f>
        <v>0</v>
      </c>
      <c r="L71" s="94">
        <f>OUTPUT_RAW!I62</f>
        <v>0</v>
      </c>
    </row>
    <row r="72" spans="2:12" x14ac:dyDescent="0.4">
      <c r="B72" s="133"/>
      <c r="C72" s="94" t="s">
        <v>1340</v>
      </c>
      <c r="D72" s="95" t="s">
        <v>1341</v>
      </c>
      <c r="E72" s="94" t="str">
        <f>OUTPUT_RAW!B63</f>
        <v>3.10.0</v>
      </c>
      <c r="F72" s="94">
        <f>OUTPUT_RAW!C63</f>
        <v>0</v>
      </c>
      <c r="G72" s="94">
        <f>OUTPUT_RAW!D63</f>
        <v>0</v>
      </c>
      <c r="H72" s="94">
        <f>OUTPUT_RAW!E63</f>
        <v>0</v>
      </c>
      <c r="I72" s="94">
        <f>OUTPUT_RAW!F63</f>
        <v>0</v>
      </c>
      <c r="J72" s="94">
        <f>OUTPUT_RAW!G63</f>
        <v>0</v>
      </c>
      <c r="K72" s="94">
        <f>OUTPUT_RAW!H63</f>
        <v>0</v>
      </c>
      <c r="L72" s="94">
        <f>OUTPUT_RAW!I63</f>
        <v>0</v>
      </c>
    </row>
    <row r="73" spans="2:12" x14ac:dyDescent="0.4">
      <c r="B73" s="133"/>
      <c r="C73" s="94" t="s">
        <v>1342</v>
      </c>
      <c r="D73" s="95" t="s">
        <v>1343</v>
      </c>
      <c r="E73" s="98">
        <f>OUTPUT_RAW!B64</f>
        <v>46178.64366898148</v>
      </c>
      <c r="F73" s="98">
        <f>OUTPUT_RAW!C64</f>
        <v>0</v>
      </c>
      <c r="G73" s="98">
        <f>OUTPUT_RAW!D64</f>
        <v>0</v>
      </c>
      <c r="H73" s="98">
        <f>OUTPUT_RAW!E64</f>
        <v>0</v>
      </c>
      <c r="I73" s="98">
        <f>OUTPUT_RAW!F64</f>
        <v>0</v>
      </c>
      <c r="J73" s="98">
        <f>OUTPUT_RAW!G64</f>
        <v>0</v>
      </c>
      <c r="K73" s="98">
        <f>OUTPUT_RAW!H64</f>
        <v>0</v>
      </c>
      <c r="L73" s="98">
        <f>OUTPUT_RAW!I64</f>
        <v>0</v>
      </c>
    </row>
    <row r="74" spans="2:12" x14ac:dyDescent="0.4">
      <c r="B74" s="133"/>
      <c r="C74" s="94" t="s">
        <v>1344</v>
      </c>
      <c r="D74" s="95" t="s">
        <v>1345</v>
      </c>
      <c r="E74" s="94">
        <f>OUTPUT_RAW!B65</f>
        <v>0</v>
      </c>
      <c r="F74" s="94">
        <f>OUTPUT_RAW!C65</f>
        <v>0</v>
      </c>
      <c r="G74" s="94">
        <f>OUTPUT_RAW!D65</f>
        <v>0</v>
      </c>
      <c r="H74" s="94">
        <f>OUTPUT_RAW!E65</f>
        <v>0</v>
      </c>
      <c r="I74" s="94">
        <f>OUTPUT_RAW!F65</f>
        <v>0</v>
      </c>
      <c r="J74" s="94">
        <f>OUTPUT_RAW!G65</f>
        <v>0</v>
      </c>
      <c r="K74" s="94">
        <f>OUTPUT_RAW!H65</f>
        <v>0</v>
      </c>
      <c r="L74" s="94">
        <f>OUTPUT_RAW!I65</f>
        <v>0</v>
      </c>
    </row>
  </sheetData>
  <mergeCells count="9">
    <mergeCell ref="B59:B63"/>
    <mergeCell ref="B65:B69"/>
    <mergeCell ref="B71:B74"/>
    <mergeCell ref="B3:B18"/>
    <mergeCell ref="B20:B26"/>
    <mergeCell ref="B28:B30"/>
    <mergeCell ref="B32:B39"/>
    <mergeCell ref="B41:B49"/>
    <mergeCell ref="B51:B57"/>
  </mergeCell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577AF-30A4-4CB7-8EF6-D6D94727D9B7}">
  <sheetPr codeName="Sheet4">
    <tabColor rgb="FFFFFF00"/>
  </sheetPr>
  <dimension ref="B2:L78"/>
  <sheetViews>
    <sheetView workbookViewId="0"/>
  </sheetViews>
  <sheetFormatPr defaultRowHeight="18.75" x14ac:dyDescent="0.4"/>
  <cols>
    <col min="2" max="2" width="13.875" customWidth="1"/>
    <col min="3" max="3" width="0.625" customWidth="1"/>
    <col min="4" max="4" width="61.25" customWidth="1"/>
    <col min="5" max="12" width="20.625" customWidth="1"/>
    <col min="14" max="14" width="21.125" customWidth="1"/>
    <col min="15" max="15" width="18.125" customWidth="1"/>
    <col min="16" max="16" width="20.25" customWidth="1"/>
  </cols>
  <sheetData>
    <row r="2" spans="2:12" x14ac:dyDescent="0.4">
      <c r="B2" s="134"/>
      <c r="C2" s="135" t="s">
        <v>1055</v>
      </c>
      <c r="D2" s="136"/>
      <c r="E2" s="134" t="s">
        <v>126</v>
      </c>
      <c r="F2" s="134"/>
      <c r="G2" s="134"/>
      <c r="H2" s="134"/>
      <c r="I2" s="134"/>
      <c r="J2" s="134"/>
      <c r="K2" s="134"/>
      <c r="L2" s="134"/>
    </row>
    <row r="3" spans="2:12" x14ac:dyDescent="0.4">
      <c r="B3" s="134"/>
      <c r="C3" s="135" t="s">
        <v>1056</v>
      </c>
      <c r="D3" s="136"/>
      <c r="E3" s="27">
        <v>1</v>
      </c>
      <c r="F3" s="27">
        <v>2</v>
      </c>
      <c r="G3" s="27">
        <v>3</v>
      </c>
      <c r="H3" s="27">
        <v>4</v>
      </c>
      <c r="I3" s="27">
        <v>5</v>
      </c>
      <c r="J3" s="27">
        <v>6</v>
      </c>
      <c r="K3" s="27">
        <v>7</v>
      </c>
      <c r="L3" s="27">
        <v>8</v>
      </c>
    </row>
    <row r="4" spans="2:12" x14ac:dyDescent="0.4">
      <c r="B4" s="137" t="s">
        <v>1057</v>
      </c>
      <c r="C4" s="28" t="s">
        <v>1058</v>
      </c>
      <c r="D4" s="28" t="s">
        <v>1059</v>
      </c>
      <c r="E4" s="29" t="s">
        <v>1060</v>
      </c>
      <c r="F4" s="29" t="s">
        <v>1061</v>
      </c>
      <c r="G4" s="29" t="s">
        <v>1062</v>
      </c>
      <c r="H4" s="29" t="s">
        <v>1063</v>
      </c>
      <c r="I4" s="29" t="s">
        <v>1064</v>
      </c>
      <c r="J4" s="29" t="s">
        <v>1065</v>
      </c>
      <c r="K4" s="29" t="s">
        <v>1060</v>
      </c>
      <c r="L4" s="29" t="s">
        <v>1060</v>
      </c>
    </row>
    <row r="5" spans="2:12" x14ac:dyDescent="0.4">
      <c r="B5" s="138"/>
      <c r="C5" s="28" t="s">
        <v>1066</v>
      </c>
      <c r="D5" s="28" t="s">
        <v>1067</v>
      </c>
      <c r="E5" s="29" t="s">
        <v>1068</v>
      </c>
      <c r="F5" s="29" t="s">
        <v>1068</v>
      </c>
      <c r="G5" s="29" t="s">
        <v>1068</v>
      </c>
      <c r="H5" s="29" t="s">
        <v>1068</v>
      </c>
      <c r="I5" s="29" t="s">
        <v>1068</v>
      </c>
      <c r="J5" s="29" t="s">
        <v>1068</v>
      </c>
      <c r="K5" s="29" t="s">
        <v>1068</v>
      </c>
      <c r="L5" s="29" t="s">
        <v>1068</v>
      </c>
    </row>
    <row r="6" spans="2:12" x14ac:dyDescent="0.4">
      <c r="B6" s="138"/>
      <c r="C6" s="28" t="s">
        <v>1069</v>
      </c>
      <c r="D6" s="28" t="s">
        <v>1070</v>
      </c>
      <c r="E6" s="29" t="s">
        <v>1071</v>
      </c>
      <c r="F6" s="29" t="s">
        <v>1071</v>
      </c>
      <c r="G6" s="29" t="s">
        <v>1071</v>
      </c>
      <c r="H6" s="29" t="s">
        <v>1071</v>
      </c>
      <c r="I6" s="29" t="s">
        <v>1071</v>
      </c>
      <c r="J6" s="29" t="s">
        <v>1071</v>
      </c>
      <c r="K6" s="29" t="s">
        <v>1071</v>
      </c>
      <c r="L6" s="29" t="s">
        <v>1071</v>
      </c>
    </row>
    <row r="7" spans="2:12" x14ac:dyDescent="0.4">
      <c r="B7" s="138"/>
      <c r="C7" s="28" t="s">
        <v>1072</v>
      </c>
      <c r="D7" s="28" t="s">
        <v>1073</v>
      </c>
      <c r="E7" s="29" t="s">
        <v>582</v>
      </c>
      <c r="F7" s="29" t="s">
        <v>582</v>
      </c>
      <c r="G7" s="29" t="s">
        <v>582</v>
      </c>
      <c r="H7" s="29" t="s">
        <v>582</v>
      </c>
      <c r="I7" s="29" t="s">
        <v>582</v>
      </c>
      <c r="J7" s="29" t="s">
        <v>582</v>
      </c>
      <c r="K7" s="29" t="s">
        <v>582</v>
      </c>
      <c r="L7" s="29" t="s">
        <v>582</v>
      </c>
    </row>
    <row r="8" spans="2:12" x14ac:dyDescent="0.4">
      <c r="B8" s="138"/>
      <c r="C8" s="28" t="s">
        <v>1074</v>
      </c>
      <c r="D8" s="28" t="s">
        <v>1075</v>
      </c>
      <c r="E8" s="29">
        <v>29.81</v>
      </c>
      <c r="F8" s="29">
        <v>29.81</v>
      </c>
      <c r="G8" s="29">
        <v>29.81</v>
      </c>
      <c r="H8" s="29">
        <v>29.81</v>
      </c>
      <c r="I8" s="29">
        <v>29.81</v>
      </c>
      <c r="J8" s="29">
        <v>29.81</v>
      </c>
      <c r="K8" s="29">
        <v>29.81</v>
      </c>
      <c r="L8" s="29">
        <v>29.81</v>
      </c>
    </row>
    <row r="9" spans="2:12" x14ac:dyDescent="0.4">
      <c r="B9" s="138"/>
      <c r="C9" s="28" t="s">
        <v>1076</v>
      </c>
      <c r="D9" s="28" t="s">
        <v>1077</v>
      </c>
      <c r="E9" s="29">
        <v>51.34</v>
      </c>
      <c r="F9" s="29">
        <v>51.34</v>
      </c>
      <c r="G9" s="29">
        <v>51.34</v>
      </c>
      <c r="H9" s="29">
        <v>51.34</v>
      </c>
      <c r="I9" s="29">
        <v>51.34</v>
      </c>
      <c r="J9" s="29">
        <v>51.34</v>
      </c>
      <c r="K9" s="29">
        <v>51.34</v>
      </c>
      <c r="L9" s="29">
        <v>51.34</v>
      </c>
    </row>
    <row r="10" spans="2:12" x14ac:dyDescent="0.4">
      <c r="B10" s="138"/>
      <c r="C10" s="28" t="s">
        <v>1078</v>
      </c>
      <c r="D10" s="28" t="s">
        <v>1079</v>
      </c>
      <c r="E10" s="30">
        <v>120.08</v>
      </c>
      <c r="F10" s="30">
        <v>120.08</v>
      </c>
      <c r="G10" s="30">
        <v>120.08</v>
      </c>
      <c r="H10" s="30">
        <v>120.08</v>
      </c>
      <c r="I10" s="30">
        <v>120.08</v>
      </c>
      <c r="J10" s="30">
        <v>120.08</v>
      </c>
      <c r="K10" s="30">
        <v>120.08</v>
      </c>
      <c r="L10" s="30">
        <v>120.08</v>
      </c>
    </row>
    <row r="11" spans="2:12" x14ac:dyDescent="0.4">
      <c r="B11" s="138"/>
      <c r="C11" s="28" t="s">
        <v>1080</v>
      </c>
      <c r="D11" s="28" t="s">
        <v>1081</v>
      </c>
      <c r="E11" s="29">
        <v>6</v>
      </c>
      <c r="F11" s="29">
        <v>6</v>
      </c>
      <c r="G11" s="29">
        <v>6</v>
      </c>
      <c r="H11" s="29">
        <v>6</v>
      </c>
      <c r="I11" s="29">
        <v>6</v>
      </c>
      <c r="J11" s="29">
        <v>6</v>
      </c>
      <c r="K11" s="29">
        <v>6</v>
      </c>
      <c r="L11" s="29">
        <v>6</v>
      </c>
    </row>
    <row r="12" spans="2:12" x14ac:dyDescent="0.4">
      <c r="B12" s="139"/>
      <c r="C12" s="28" t="s">
        <v>1082</v>
      </c>
      <c r="D12" s="28" t="s">
        <v>1083</v>
      </c>
      <c r="E12" s="29"/>
      <c r="F12" s="29"/>
      <c r="G12" s="29"/>
      <c r="H12" s="29"/>
      <c r="I12" s="29"/>
      <c r="J12" s="29"/>
      <c r="K12" s="29"/>
      <c r="L12" s="29"/>
    </row>
    <row r="13" spans="2:12" x14ac:dyDescent="0.4">
      <c r="B13" s="134" t="s">
        <v>28</v>
      </c>
      <c r="C13" s="28" t="s">
        <v>1084</v>
      </c>
      <c r="D13" s="28" t="s">
        <v>752</v>
      </c>
      <c r="E13" s="29" t="s">
        <v>1085</v>
      </c>
      <c r="F13" s="29" t="s">
        <v>1085</v>
      </c>
      <c r="G13" s="29" t="s">
        <v>1085</v>
      </c>
      <c r="H13" s="29" t="s">
        <v>1085</v>
      </c>
      <c r="I13" s="29" t="s">
        <v>1085</v>
      </c>
      <c r="J13" s="29" t="s">
        <v>1085</v>
      </c>
      <c r="K13" s="29" t="s">
        <v>1085</v>
      </c>
      <c r="L13" s="29" t="s">
        <v>1085</v>
      </c>
    </row>
    <row r="14" spans="2:12" x14ac:dyDescent="0.4">
      <c r="B14" s="134"/>
      <c r="C14" s="28" t="s">
        <v>1086</v>
      </c>
      <c r="D14" s="28" t="s">
        <v>1087</v>
      </c>
      <c r="E14" s="29">
        <v>307.51</v>
      </c>
      <c r="F14" s="29">
        <v>307.51</v>
      </c>
      <c r="G14" s="29">
        <v>307.51</v>
      </c>
      <c r="H14" s="29">
        <v>307.51</v>
      </c>
      <c r="I14" s="29">
        <v>307.51</v>
      </c>
      <c r="J14" s="29">
        <v>307.51</v>
      </c>
      <c r="K14" s="29">
        <v>307.51</v>
      </c>
      <c r="L14" s="29">
        <v>307.51</v>
      </c>
    </row>
    <row r="15" spans="2:12" x14ac:dyDescent="0.4">
      <c r="B15" s="134"/>
      <c r="C15" s="28" t="s">
        <v>1088</v>
      </c>
      <c r="D15" s="28" t="s">
        <v>1089</v>
      </c>
      <c r="E15" s="29">
        <v>0.87</v>
      </c>
      <c r="F15" s="29">
        <v>0.87</v>
      </c>
      <c r="G15" s="29">
        <v>0.87</v>
      </c>
      <c r="H15" s="29">
        <v>0.87</v>
      </c>
      <c r="I15" s="29">
        <v>0.87</v>
      </c>
      <c r="J15" s="29">
        <v>0.87</v>
      </c>
      <c r="K15" s="29">
        <v>0.87</v>
      </c>
      <c r="L15" s="29">
        <v>0.87</v>
      </c>
    </row>
    <row r="16" spans="2:12" x14ac:dyDescent="0.4">
      <c r="B16" s="134"/>
      <c r="C16" s="28" t="s">
        <v>1090</v>
      </c>
      <c r="D16" s="28" t="s">
        <v>636</v>
      </c>
      <c r="E16" s="29">
        <v>2.8</v>
      </c>
      <c r="F16" s="29">
        <v>2.8</v>
      </c>
      <c r="G16" s="29">
        <v>2.8</v>
      </c>
      <c r="H16" s="29">
        <v>2.8</v>
      </c>
      <c r="I16" s="29">
        <v>2.8</v>
      </c>
      <c r="J16" s="29">
        <v>2.8</v>
      </c>
      <c r="K16" s="29">
        <v>2.8</v>
      </c>
      <c r="L16" s="29">
        <v>2.8</v>
      </c>
    </row>
    <row r="17" spans="2:12" x14ac:dyDescent="0.4">
      <c r="B17" s="134"/>
      <c r="C17" s="28" t="s">
        <v>1091</v>
      </c>
      <c r="D17" s="28" t="s">
        <v>637</v>
      </c>
      <c r="E17" s="29">
        <v>4.3</v>
      </c>
      <c r="F17" s="29">
        <v>4.3</v>
      </c>
      <c r="G17" s="29">
        <v>4.3</v>
      </c>
      <c r="H17" s="29">
        <v>4.3</v>
      </c>
      <c r="I17" s="29">
        <v>4.3</v>
      </c>
      <c r="J17" s="29">
        <v>4.3</v>
      </c>
      <c r="K17" s="29">
        <v>4.3</v>
      </c>
      <c r="L17" s="29">
        <v>4.3</v>
      </c>
    </row>
    <row r="18" spans="2:12" x14ac:dyDescent="0.4">
      <c r="B18" s="134"/>
      <c r="C18" s="28" t="s">
        <v>1092</v>
      </c>
      <c r="D18" s="28" t="s">
        <v>1093</v>
      </c>
      <c r="E18" s="29">
        <v>0</v>
      </c>
      <c r="F18" s="29">
        <v>0</v>
      </c>
      <c r="G18" s="29">
        <v>0</v>
      </c>
      <c r="H18" s="29">
        <v>0</v>
      </c>
      <c r="I18" s="29">
        <v>0</v>
      </c>
      <c r="J18" s="29">
        <v>0</v>
      </c>
      <c r="K18" s="29">
        <v>0</v>
      </c>
      <c r="L18" s="29">
        <v>0</v>
      </c>
    </row>
    <row r="19" spans="2:12" x14ac:dyDescent="0.4">
      <c r="B19" s="134"/>
      <c r="C19" s="28" t="s">
        <v>1094</v>
      </c>
      <c r="D19" s="28" t="s">
        <v>1095</v>
      </c>
      <c r="E19" s="29">
        <v>0</v>
      </c>
      <c r="F19" s="29">
        <v>0</v>
      </c>
      <c r="G19" s="29">
        <v>0</v>
      </c>
      <c r="H19" s="29">
        <v>0</v>
      </c>
      <c r="I19" s="29">
        <v>0</v>
      </c>
      <c r="J19" s="29">
        <v>0</v>
      </c>
      <c r="K19" s="29">
        <v>0</v>
      </c>
      <c r="L19" s="29">
        <v>0</v>
      </c>
    </row>
    <row r="20" spans="2:12" x14ac:dyDescent="0.4">
      <c r="B20" s="134"/>
      <c r="C20" s="28" t="s">
        <v>1096</v>
      </c>
      <c r="D20" s="28" t="s">
        <v>1097</v>
      </c>
      <c r="E20" s="29" t="s">
        <v>1098</v>
      </c>
      <c r="F20" s="29" t="s">
        <v>1098</v>
      </c>
      <c r="G20" s="29" t="s">
        <v>1098</v>
      </c>
      <c r="H20" s="29" t="s">
        <v>1098</v>
      </c>
      <c r="I20" s="29" t="s">
        <v>1098</v>
      </c>
      <c r="J20" s="29" t="s">
        <v>1098</v>
      </c>
      <c r="K20" s="29" t="s">
        <v>1098</v>
      </c>
      <c r="L20" s="29" t="s">
        <v>1098</v>
      </c>
    </row>
    <row r="21" spans="2:12" x14ac:dyDescent="0.4">
      <c r="B21" s="134"/>
      <c r="C21" s="28" t="s">
        <v>1099</v>
      </c>
      <c r="D21" s="28" t="s">
        <v>1100</v>
      </c>
      <c r="E21" s="29" t="s">
        <v>1101</v>
      </c>
      <c r="F21" s="29" t="s">
        <v>1101</v>
      </c>
      <c r="G21" s="29" t="s">
        <v>1101</v>
      </c>
      <c r="H21" s="29" t="s">
        <v>1101</v>
      </c>
      <c r="I21" s="29" t="s">
        <v>1101</v>
      </c>
      <c r="J21" s="29" t="s">
        <v>1101</v>
      </c>
      <c r="K21" s="29" t="s">
        <v>1101</v>
      </c>
      <c r="L21" s="29" t="s">
        <v>1101</v>
      </c>
    </row>
    <row r="22" spans="2:12" x14ac:dyDescent="0.4">
      <c r="B22" s="134"/>
      <c r="C22" s="28" t="s">
        <v>1102</v>
      </c>
      <c r="D22" s="28" t="s">
        <v>44</v>
      </c>
      <c r="E22" s="29"/>
      <c r="F22" s="29"/>
      <c r="G22" s="29"/>
      <c r="H22" s="29"/>
      <c r="I22" s="29"/>
      <c r="J22" s="29"/>
      <c r="K22" s="29"/>
      <c r="L22" s="29"/>
    </row>
    <row r="23" spans="2:12" x14ac:dyDescent="0.4">
      <c r="B23" s="134"/>
      <c r="C23" s="28" t="s">
        <v>1103</v>
      </c>
      <c r="D23" s="28" t="s">
        <v>1104</v>
      </c>
      <c r="E23" s="29" t="s">
        <v>1101</v>
      </c>
      <c r="F23" s="29" t="s">
        <v>1101</v>
      </c>
      <c r="G23" s="29" t="s">
        <v>1101</v>
      </c>
      <c r="H23" s="29" t="s">
        <v>1101</v>
      </c>
      <c r="I23" s="29" t="s">
        <v>1101</v>
      </c>
      <c r="J23" s="29" t="s">
        <v>1101</v>
      </c>
      <c r="K23" s="29" t="s">
        <v>1101</v>
      </c>
      <c r="L23" s="29" t="s">
        <v>1101</v>
      </c>
    </row>
    <row r="24" spans="2:12" x14ac:dyDescent="0.4">
      <c r="B24" s="140" t="s">
        <v>1105</v>
      </c>
      <c r="C24" s="28" t="s">
        <v>1106</v>
      </c>
      <c r="D24" s="28" t="s">
        <v>1107</v>
      </c>
      <c r="E24" s="29" t="s">
        <v>1108</v>
      </c>
      <c r="F24" s="29" t="s">
        <v>1108</v>
      </c>
      <c r="G24" s="29" t="s">
        <v>1108</v>
      </c>
      <c r="H24" s="29" t="s">
        <v>1108</v>
      </c>
      <c r="I24" s="29" t="s">
        <v>1108</v>
      </c>
      <c r="J24" s="29" t="s">
        <v>1108</v>
      </c>
      <c r="K24" s="29" t="s">
        <v>1108</v>
      </c>
      <c r="L24" s="29" t="s">
        <v>1108</v>
      </c>
    </row>
    <row r="25" spans="2:12" x14ac:dyDescent="0.4">
      <c r="B25" s="134"/>
      <c r="C25" s="28" t="s">
        <v>1109</v>
      </c>
      <c r="D25" s="28" t="s">
        <v>1110</v>
      </c>
      <c r="E25" s="29" t="s">
        <v>1111</v>
      </c>
      <c r="F25" s="29" t="s">
        <v>1111</v>
      </c>
      <c r="G25" s="29" t="s">
        <v>1111</v>
      </c>
      <c r="H25" s="29" t="s">
        <v>1111</v>
      </c>
      <c r="I25" s="29" t="s">
        <v>1111</v>
      </c>
      <c r="J25" s="29" t="s">
        <v>1111</v>
      </c>
      <c r="K25" s="29" t="s">
        <v>1111</v>
      </c>
      <c r="L25" s="29" t="s">
        <v>1111</v>
      </c>
    </row>
    <row r="26" spans="2:12" x14ac:dyDescent="0.4">
      <c r="B26" s="134"/>
      <c r="C26" s="28" t="s">
        <v>1112</v>
      </c>
      <c r="D26" s="28" t="s">
        <v>1113</v>
      </c>
      <c r="E26" s="29"/>
      <c r="F26" s="29" t="s">
        <v>1114</v>
      </c>
      <c r="G26" s="29" t="s">
        <v>1114</v>
      </c>
      <c r="H26" s="29" t="s">
        <v>1114</v>
      </c>
      <c r="I26" s="29" t="s">
        <v>1114</v>
      </c>
      <c r="J26" s="29" t="s">
        <v>1114</v>
      </c>
      <c r="K26" s="29" t="s">
        <v>1114</v>
      </c>
      <c r="L26" s="29" t="s">
        <v>1114</v>
      </c>
    </row>
    <row r="27" spans="2:12" x14ac:dyDescent="0.4">
      <c r="B27" s="134"/>
      <c r="C27" s="28" t="s">
        <v>1115</v>
      </c>
      <c r="D27" s="28" t="s">
        <v>1116</v>
      </c>
      <c r="E27" s="29"/>
      <c r="F27" s="29" t="s">
        <v>1117</v>
      </c>
      <c r="G27" s="29" t="s">
        <v>1118</v>
      </c>
      <c r="H27" s="29" t="s">
        <v>1118</v>
      </c>
      <c r="I27" s="29" t="s">
        <v>1118</v>
      </c>
      <c r="J27" s="29" t="s">
        <v>1118</v>
      </c>
      <c r="K27" s="29" t="s">
        <v>1118</v>
      </c>
      <c r="L27" s="29" t="s">
        <v>1118</v>
      </c>
    </row>
    <row r="28" spans="2:12" x14ac:dyDescent="0.4">
      <c r="B28" s="134"/>
      <c r="C28" s="28" t="s">
        <v>1119</v>
      </c>
      <c r="D28" s="28" t="s">
        <v>1110</v>
      </c>
      <c r="E28" s="29" t="s">
        <v>1111</v>
      </c>
      <c r="F28" s="29" t="s">
        <v>1111</v>
      </c>
      <c r="G28" s="29" t="s">
        <v>1111</v>
      </c>
      <c r="H28" s="29" t="s">
        <v>1111</v>
      </c>
      <c r="I28" s="29" t="s">
        <v>1111</v>
      </c>
      <c r="J28" s="29" t="s">
        <v>1111</v>
      </c>
      <c r="K28" s="29" t="s">
        <v>1111</v>
      </c>
      <c r="L28" s="29" t="s">
        <v>1111</v>
      </c>
    </row>
    <row r="29" spans="2:12" x14ac:dyDescent="0.4">
      <c r="B29" s="134"/>
      <c r="C29" s="28" t="s">
        <v>1120</v>
      </c>
      <c r="D29" s="28" t="s">
        <v>1113</v>
      </c>
      <c r="E29" s="29"/>
      <c r="F29" s="29"/>
      <c r="G29" s="29"/>
      <c r="H29" s="29" t="s">
        <v>1114</v>
      </c>
      <c r="I29" s="29" t="s">
        <v>1114</v>
      </c>
      <c r="J29" s="29" t="s">
        <v>1114</v>
      </c>
      <c r="K29" s="29" t="s">
        <v>1114</v>
      </c>
      <c r="L29" s="29" t="s">
        <v>1114</v>
      </c>
    </row>
    <row r="30" spans="2:12" x14ac:dyDescent="0.4">
      <c r="B30" s="134"/>
      <c r="C30" s="28" t="s">
        <v>1121</v>
      </c>
      <c r="D30" s="28" t="s">
        <v>1116</v>
      </c>
      <c r="E30" s="29"/>
      <c r="F30" s="29"/>
      <c r="G30" s="29"/>
      <c r="H30" s="29" t="s">
        <v>1117</v>
      </c>
      <c r="I30" s="29" t="s">
        <v>1118</v>
      </c>
      <c r="J30" s="29" t="s">
        <v>1118</v>
      </c>
      <c r="K30" s="29" t="s">
        <v>1118</v>
      </c>
      <c r="L30" s="29" t="s">
        <v>1118</v>
      </c>
    </row>
    <row r="31" spans="2:12" x14ac:dyDescent="0.4">
      <c r="B31" s="140" t="s">
        <v>1122</v>
      </c>
      <c r="C31" s="28" t="s">
        <v>1123</v>
      </c>
      <c r="D31" s="28" t="s">
        <v>285</v>
      </c>
      <c r="E31" s="29" t="s">
        <v>1108</v>
      </c>
      <c r="F31" s="29" t="s">
        <v>1108</v>
      </c>
      <c r="G31" s="29" t="s">
        <v>1108</v>
      </c>
      <c r="H31" s="29" t="s">
        <v>1108</v>
      </c>
      <c r="I31" s="29" t="s">
        <v>1108</v>
      </c>
      <c r="J31" s="29" t="s">
        <v>1108</v>
      </c>
      <c r="K31" s="29" t="s">
        <v>1108</v>
      </c>
      <c r="L31" s="29" t="s">
        <v>1108</v>
      </c>
    </row>
    <row r="32" spans="2:12" x14ac:dyDescent="0.4">
      <c r="B32" s="134"/>
      <c r="C32" s="28" t="s">
        <v>1124</v>
      </c>
      <c r="D32" s="28" t="s">
        <v>1125</v>
      </c>
      <c r="E32" s="29" t="s">
        <v>1126</v>
      </c>
      <c r="F32" s="29" t="s">
        <v>1126</v>
      </c>
      <c r="G32" s="29" t="s">
        <v>1126</v>
      </c>
      <c r="H32" s="29" t="s">
        <v>1126</v>
      </c>
      <c r="I32" s="29" t="s">
        <v>1126</v>
      </c>
      <c r="J32" s="29" t="s">
        <v>1126</v>
      </c>
      <c r="K32" s="29" t="s">
        <v>1126</v>
      </c>
      <c r="L32" s="29" t="s">
        <v>1126</v>
      </c>
    </row>
    <row r="33" spans="2:12" x14ac:dyDescent="0.4">
      <c r="B33" s="134"/>
      <c r="C33" s="28" t="s">
        <v>1127</v>
      </c>
      <c r="D33" s="28" t="s">
        <v>1113</v>
      </c>
      <c r="E33" s="29"/>
      <c r="F33" s="29" t="s">
        <v>1114</v>
      </c>
      <c r="G33" s="29" t="s">
        <v>1114</v>
      </c>
      <c r="H33" s="29" t="s">
        <v>1114</v>
      </c>
      <c r="I33" s="29" t="s">
        <v>1114</v>
      </c>
      <c r="J33" s="29" t="s">
        <v>1114</v>
      </c>
      <c r="K33" s="29" t="s">
        <v>1114</v>
      </c>
      <c r="L33" s="29" t="s">
        <v>1114</v>
      </c>
    </row>
    <row r="34" spans="2:12" x14ac:dyDescent="0.4">
      <c r="B34" s="134"/>
      <c r="C34" s="28" t="s">
        <v>1128</v>
      </c>
      <c r="D34" s="28" t="s">
        <v>1116</v>
      </c>
      <c r="E34" s="29"/>
      <c r="F34" s="29" t="s">
        <v>1117</v>
      </c>
      <c r="G34" s="29" t="s">
        <v>1118</v>
      </c>
      <c r="H34" s="29" t="s">
        <v>1118</v>
      </c>
      <c r="I34" s="29" t="s">
        <v>1118</v>
      </c>
      <c r="J34" s="29" t="s">
        <v>1118</v>
      </c>
      <c r="K34" s="29" t="s">
        <v>1118</v>
      </c>
      <c r="L34" s="29" t="s">
        <v>1118</v>
      </c>
    </row>
    <row r="35" spans="2:12" x14ac:dyDescent="0.4">
      <c r="B35" s="134"/>
      <c r="C35" s="28" t="s">
        <v>1129</v>
      </c>
      <c r="D35" s="28" t="s">
        <v>1125</v>
      </c>
      <c r="E35" s="29" t="s">
        <v>1126</v>
      </c>
      <c r="F35" s="29" t="s">
        <v>1126</v>
      </c>
      <c r="G35" s="29" t="s">
        <v>1126</v>
      </c>
      <c r="H35" s="29" t="s">
        <v>1126</v>
      </c>
      <c r="I35" s="29" t="s">
        <v>1126</v>
      </c>
      <c r="J35" s="29" t="s">
        <v>1126</v>
      </c>
      <c r="K35" s="29" t="s">
        <v>1126</v>
      </c>
      <c r="L35" s="29" t="s">
        <v>1126</v>
      </c>
    </row>
    <row r="36" spans="2:12" x14ac:dyDescent="0.4">
      <c r="B36" s="134"/>
      <c r="C36" s="28" t="s">
        <v>1130</v>
      </c>
      <c r="D36" s="28" t="s">
        <v>1113</v>
      </c>
      <c r="E36" s="29"/>
      <c r="F36" s="29"/>
      <c r="G36" s="29"/>
      <c r="H36" s="29" t="s">
        <v>1114</v>
      </c>
      <c r="I36" s="29" t="s">
        <v>1114</v>
      </c>
      <c r="J36" s="29" t="s">
        <v>1114</v>
      </c>
      <c r="K36" s="29" t="s">
        <v>1114</v>
      </c>
      <c r="L36" s="29" t="s">
        <v>1114</v>
      </c>
    </row>
    <row r="37" spans="2:12" x14ac:dyDescent="0.4">
      <c r="B37" s="134"/>
      <c r="C37" s="28" t="s">
        <v>1131</v>
      </c>
      <c r="D37" s="28" t="s">
        <v>1116</v>
      </c>
      <c r="E37" s="29"/>
      <c r="F37" s="29"/>
      <c r="G37" s="29"/>
      <c r="H37" s="29" t="s">
        <v>1117</v>
      </c>
      <c r="I37" s="29" t="s">
        <v>1118</v>
      </c>
      <c r="J37" s="29" t="s">
        <v>1118</v>
      </c>
      <c r="K37" s="29" t="s">
        <v>1118</v>
      </c>
      <c r="L37" s="29" t="s">
        <v>1118</v>
      </c>
    </row>
    <row r="38" spans="2:12" x14ac:dyDescent="0.4">
      <c r="B38" s="137" t="s">
        <v>134</v>
      </c>
      <c r="C38" s="28" t="s">
        <v>1132</v>
      </c>
      <c r="D38" s="28" t="s">
        <v>824</v>
      </c>
      <c r="E38" s="29" t="s">
        <v>1133</v>
      </c>
      <c r="F38" s="29" t="s">
        <v>1133</v>
      </c>
      <c r="G38" s="29" t="s">
        <v>1133</v>
      </c>
      <c r="H38" s="29" t="s">
        <v>1133</v>
      </c>
      <c r="I38" s="29" t="s">
        <v>1133</v>
      </c>
      <c r="J38" s="29" t="s">
        <v>1133</v>
      </c>
      <c r="K38" s="29" t="s">
        <v>1133</v>
      </c>
      <c r="L38" s="29" t="s">
        <v>1133</v>
      </c>
    </row>
    <row r="39" spans="2:12" x14ac:dyDescent="0.4">
      <c r="B39" s="138"/>
      <c r="C39" s="28" t="s">
        <v>1134</v>
      </c>
      <c r="D39" s="28" t="s">
        <v>1135</v>
      </c>
      <c r="E39" s="29"/>
      <c r="F39" s="29"/>
      <c r="G39" s="29"/>
      <c r="H39" s="29"/>
      <c r="I39" s="29"/>
      <c r="J39" s="29"/>
      <c r="K39" s="29"/>
      <c r="L39" s="29"/>
    </row>
    <row r="40" spans="2:12" x14ac:dyDescent="0.4">
      <c r="B40" s="138"/>
      <c r="C40" s="28" t="s">
        <v>1136</v>
      </c>
      <c r="D40" s="28" t="s">
        <v>1137</v>
      </c>
      <c r="E40" s="29"/>
      <c r="F40" s="29"/>
      <c r="G40" s="29"/>
      <c r="H40" s="29"/>
      <c r="I40" s="29"/>
      <c r="J40" s="29"/>
      <c r="K40" s="29"/>
      <c r="L40" s="29"/>
    </row>
    <row r="41" spans="2:12" x14ac:dyDescent="0.4">
      <c r="B41" s="138"/>
      <c r="C41" s="28" t="s">
        <v>1138</v>
      </c>
      <c r="D41" s="28" t="s">
        <v>1139</v>
      </c>
      <c r="E41" s="29" t="s">
        <v>1140</v>
      </c>
      <c r="F41" s="29" t="s">
        <v>1140</v>
      </c>
      <c r="G41" s="29" t="s">
        <v>1140</v>
      </c>
      <c r="H41" s="29" t="s">
        <v>1140</v>
      </c>
      <c r="I41" s="29" t="s">
        <v>1140</v>
      </c>
      <c r="J41" s="29" t="s">
        <v>1140</v>
      </c>
      <c r="K41" s="29" t="s">
        <v>1140</v>
      </c>
      <c r="L41" s="29" t="s">
        <v>1140</v>
      </c>
    </row>
    <row r="42" spans="2:12" x14ac:dyDescent="0.4">
      <c r="B42" s="134" t="s">
        <v>135</v>
      </c>
      <c r="C42" s="28" t="s">
        <v>1141</v>
      </c>
      <c r="D42" s="28" t="s">
        <v>832</v>
      </c>
      <c r="E42" s="29" t="s">
        <v>1098</v>
      </c>
      <c r="F42" s="29" t="s">
        <v>1098</v>
      </c>
      <c r="G42" s="29" t="s">
        <v>1098</v>
      </c>
      <c r="H42" s="29" t="s">
        <v>1098</v>
      </c>
      <c r="I42" s="29" t="s">
        <v>1098</v>
      </c>
      <c r="J42" s="29" t="s">
        <v>1098</v>
      </c>
      <c r="K42" s="29" t="s">
        <v>1098</v>
      </c>
      <c r="L42" s="29" t="s">
        <v>1098</v>
      </c>
    </row>
    <row r="43" spans="2:12" x14ac:dyDescent="0.4">
      <c r="B43" s="134"/>
      <c r="C43" s="28" t="s">
        <v>1142</v>
      </c>
      <c r="D43" s="28" t="s">
        <v>1143</v>
      </c>
      <c r="E43" s="29">
        <v>1</v>
      </c>
      <c r="F43" s="29">
        <v>1</v>
      </c>
      <c r="G43" s="29">
        <v>1</v>
      </c>
      <c r="H43" s="29">
        <v>1</v>
      </c>
      <c r="I43" s="29">
        <v>1</v>
      </c>
      <c r="J43" s="29">
        <v>1</v>
      </c>
      <c r="K43" s="29">
        <v>1</v>
      </c>
      <c r="L43" s="29">
        <v>1</v>
      </c>
    </row>
    <row r="44" spans="2:12" x14ac:dyDescent="0.4">
      <c r="B44" s="134"/>
      <c r="C44" s="28" t="s">
        <v>1144</v>
      </c>
      <c r="D44" s="28" t="s">
        <v>1145</v>
      </c>
      <c r="E44" s="29"/>
      <c r="F44" s="29"/>
      <c r="G44" s="29"/>
      <c r="H44" s="29"/>
      <c r="I44" s="29"/>
      <c r="J44" s="29"/>
      <c r="K44" s="29"/>
      <c r="L44" s="29"/>
    </row>
    <row r="45" spans="2:12" ht="18.600000000000001" customHeight="1" x14ac:dyDescent="0.4">
      <c r="B45" s="134"/>
      <c r="C45" s="28" t="s">
        <v>1146</v>
      </c>
      <c r="D45" s="31" t="s">
        <v>1147</v>
      </c>
      <c r="E45" s="29"/>
      <c r="F45" s="29"/>
      <c r="G45" s="29"/>
      <c r="H45" s="29"/>
      <c r="I45" s="29"/>
      <c r="J45" s="29"/>
      <c r="K45" s="29"/>
      <c r="L45" s="29"/>
    </row>
    <row r="46" spans="2:12" x14ac:dyDescent="0.4">
      <c r="B46" s="134"/>
      <c r="C46" s="28" t="s">
        <v>1148</v>
      </c>
      <c r="D46" s="28" t="s">
        <v>1149</v>
      </c>
      <c r="E46" s="29"/>
      <c r="F46" s="29"/>
      <c r="G46" s="29"/>
      <c r="H46" s="29"/>
      <c r="I46" s="29"/>
      <c r="J46" s="29"/>
      <c r="K46" s="29"/>
      <c r="L46" s="29"/>
    </row>
    <row r="47" spans="2:12" x14ac:dyDescent="0.4">
      <c r="B47" s="141" t="s">
        <v>136</v>
      </c>
      <c r="C47" s="28" t="s">
        <v>1150</v>
      </c>
      <c r="D47" s="28" t="s">
        <v>838</v>
      </c>
      <c r="E47" s="29" t="s">
        <v>1151</v>
      </c>
      <c r="F47" s="29" t="s">
        <v>1151</v>
      </c>
      <c r="G47" s="29" t="s">
        <v>1151</v>
      </c>
      <c r="H47" s="29" t="s">
        <v>1151</v>
      </c>
      <c r="I47" s="29" t="s">
        <v>1151</v>
      </c>
      <c r="J47" s="29" t="s">
        <v>1151</v>
      </c>
      <c r="K47" s="29" t="s">
        <v>1151</v>
      </c>
      <c r="L47" s="29" t="s">
        <v>1151</v>
      </c>
    </row>
    <row r="48" spans="2:12" x14ac:dyDescent="0.4">
      <c r="B48" s="141"/>
      <c r="C48" s="28" t="s">
        <v>1152</v>
      </c>
      <c r="D48" s="28" t="s">
        <v>1153</v>
      </c>
      <c r="E48" s="29" t="s">
        <v>1154</v>
      </c>
      <c r="F48" s="29" t="s">
        <v>1154</v>
      </c>
      <c r="G48" s="29" t="s">
        <v>1154</v>
      </c>
      <c r="H48" s="29" t="s">
        <v>1154</v>
      </c>
      <c r="I48" s="29" t="s">
        <v>1154</v>
      </c>
      <c r="J48" s="29" t="s">
        <v>1154</v>
      </c>
      <c r="K48" s="29" t="s">
        <v>1154</v>
      </c>
      <c r="L48" s="29" t="s">
        <v>1154</v>
      </c>
    </row>
    <row r="49" spans="2:12" x14ac:dyDescent="0.4">
      <c r="B49" s="141"/>
      <c r="C49" s="28" t="s">
        <v>1155</v>
      </c>
      <c r="D49" s="28" t="s">
        <v>1156</v>
      </c>
      <c r="E49" s="29"/>
      <c r="F49" s="29"/>
      <c r="G49" s="29"/>
      <c r="H49" s="29"/>
      <c r="I49" s="29"/>
      <c r="J49" s="29"/>
      <c r="K49" s="29"/>
      <c r="L49" s="29"/>
    </row>
    <row r="50" spans="2:12" x14ac:dyDescent="0.4">
      <c r="B50" s="141"/>
      <c r="C50" s="28" t="s">
        <v>1157</v>
      </c>
      <c r="D50" s="28" t="s">
        <v>1158</v>
      </c>
      <c r="E50" s="29"/>
      <c r="F50" s="29"/>
      <c r="G50" s="29"/>
      <c r="H50" s="29"/>
      <c r="I50" s="29"/>
      <c r="J50" s="29"/>
      <c r="K50" s="29"/>
      <c r="L50" s="29"/>
    </row>
    <row r="51" spans="2:12" x14ac:dyDescent="0.4">
      <c r="B51" s="141"/>
      <c r="C51" s="28" t="s">
        <v>1159</v>
      </c>
      <c r="D51" s="28" t="s">
        <v>1160</v>
      </c>
      <c r="E51" s="29"/>
      <c r="F51" s="29"/>
      <c r="G51" s="29"/>
      <c r="H51" s="29"/>
      <c r="I51" s="29"/>
      <c r="J51" s="29"/>
      <c r="K51" s="29"/>
      <c r="L51" s="29"/>
    </row>
    <row r="52" spans="2:12" x14ac:dyDescent="0.4">
      <c r="B52" s="141"/>
      <c r="C52" s="28" t="s">
        <v>1161</v>
      </c>
      <c r="D52" s="28" t="s">
        <v>1162</v>
      </c>
      <c r="E52" s="29"/>
      <c r="F52" s="29"/>
      <c r="G52" s="29"/>
      <c r="H52" s="29"/>
      <c r="I52" s="29"/>
      <c r="J52" s="29"/>
      <c r="K52" s="29"/>
      <c r="L52" s="29"/>
    </row>
    <row r="53" spans="2:12" x14ac:dyDescent="0.4">
      <c r="B53" s="141"/>
      <c r="C53" s="28" t="s">
        <v>1163</v>
      </c>
      <c r="D53" s="28" t="s">
        <v>1164</v>
      </c>
      <c r="E53" s="29"/>
      <c r="F53" s="29"/>
      <c r="G53" s="29"/>
      <c r="H53" s="29"/>
      <c r="I53" s="29"/>
      <c r="J53" s="29"/>
      <c r="K53" s="29"/>
      <c r="L53" s="29"/>
    </row>
    <row r="54" spans="2:12" x14ac:dyDescent="0.4">
      <c r="B54" s="141"/>
      <c r="C54" s="28" t="s">
        <v>1165</v>
      </c>
      <c r="D54" s="28" t="s">
        <v>1166</v>
      </c>
      <c r="E54" s="29"/>
      <c r="F54" s="29"/>
      <c r="G54" s="29"/>
      <c r="H54" s="29"/>
      <c r="I54" s="29"/>
      <c r="J54" s="29"/>
      <c r="K54" s="29"/>
      <c r="L54" s="29"/>
    </row>
    <row r="55" spans="2:12" x14ac:dyDescent="0.4">
      <c r="B55" s="141"/>
      <c r="C55" s="28" t="s">
        <v>1167</v>
      </c>
      <c r="D55" s="28" t="s">
        <v>1168</v>
      </c>
      <c r="E55" s="29"/>
      <c r="F55" s="29"/>
      <c r="G55" s="29"/>
      <c r="H55" s="29"/>
      <c r="I55" s="29"/>
      <c r="J55" s="29"/>
      <c r="K55" s="29"/>
      <c r="L55" s="29"/>
    </row>
    <row r="56" spans="2:12" x14ac:dyDescent="0.4">
      <c r="B56" s="141"/>
      <c r="C56" s="28" t="s">
        <v>1169</v>
      </c>
      <c r="D56" s="28" t="s">
        <v>1170</v>
      </c>
      <c r="E56" s="29"/>
      <c r="F56" s="29"/>
      <c r="G56" s="29"/>
      <c r="H56" s="29"/>
      <c r="I56" s="29"/>
      <c r="J56" s="29"/>
      <c r="K56" s="29"/>
      <c r="L56" s="29"/>
    </row>
    <row r="57" spans="2:12" x14ac:dyDescent="0.4">
      <c r="B57" s="141"/>
      <c r="C57" s="28" t="s">
        <v>1171</v>
      </c>
      <c r="D57" s="28" t="s">
        <v>1170</v>
      </c>
      <c r="E57" s="29"/>
      <c r="F57" s="29"/>
      <c r="G57" s="29"/>
      <c r="H57" s="29"/>
      <c r="I57" s="29"/>
      <c r="J57" s="29"/>
      <c r="K57" s="29"/>
      <c r="L57" s="29"/>
    </row>
    <row r="58" spans="2:12" x14ac:dyDescent="0.4">
      <c r="B58" s="141"/>
      <c r="C58" s="28" t="s">
        <v>1172</v>
      </c>
      <c r="D58" s="28" t="s">
        <v>1170</v>
      </c>
      <c r="E58" s="29"/>
      <c r="F58" s="29"/>
      <c r="G58" s="29"/>
      <c r="H58" s="29"/>
      <c r="I58" s="29"/>
      <c r="J58" s="29"/>
      <c r="K58" s="29"/>
      <c r="L58" s="29"/>
    </row>
    <row r="59" spans="2:12" x14ac:dyDescent="0.4">
      <c r="B59" s="141"/>
      <c r="C59" s="28" t="s">
        <v>1173</v>
      </c>
      <c r="D59" s="28" t="s">
        <v>1170</v>
      </c>
      <c r="E59" s="29"/>
      <c r="F59" s="29"/>
      <c r="G59" s="29"/>
      <c r="H59" s="29"/>
      <c r="I59" s="29"/>
      <c r="J59" s="29"/>
      <c r="K59" s="29"/>
      <c r="L59" s="29"/>
    </row>
    <row r="60" spans="2:12" x14ac:dyDescent="0.4">
      <c r="B60" s="141"/>
      <c r="C60" s="28" t="s">
        <v>1174</v>
      </c>
      <c r="D60" s="28" t="s">
        <v>1170</v>
      </c>
      <c r="E60" s="29"/>
      <c r="F60" s="29"/>
      <c r="G60" s="29"/>
      <c r="H60" s="29"/>
      <c r="I60" s="29"/>
      <c r="J60" s="29"/>
      <c r="K60" s="29"/>
      <c r="L60" s="29"/>
    </row>
    <row r="61" spans="2:12" x14ac:dyDescent="0.4">
      <c r="B61" s="141"/>
      <c r="C61" s="28" t="s">
        <v>1175</v>
      </c>
      <c r="D61" s="28" t="s">
        <v>1170</v>
      </c>
      <c r="E61" s="29"/>
      <c r="F61" s="29"/>
      <c r="G61" s="29"/>
      <c r="H61" s="29"/>
      <c r="I61" s="29"/>
      <c r="J61" s="29"/>
      <c r="K61" s="29"/>
      <c r="L61" s="29"/>
    </row>
    <row r="62" spans="2:12" x14ac:dyDescent="0.4">
      <c r="B62" s="141"/>
      <c r="C62" s="28" t="s">
        <v>1176</v>
      </c>
      <c r="D62" s="28" t="s">
        <v>1177</v>
      </c>
      <c r="E62" s="29" t="s">
        <v>1178</v>
      </c>
      <c r="F62" s="29" t="s">
        <v>1178</v>
      </c>
      <c r="G62" s="29" t="s">
        <v>1178</v>
      </c>
      <c r="H62" s="29" t="s">
        <v>1178</v>
      </c>
      <c r="I62" s="29" t="s">
        <v>1178</v>
      </c>
      <c r="J62" s="29" t="s">
        <v>1178</v>
      </c>
      <c r="K62" s="29" t="s">
        <v>1178</v>
      </c>
      <c r="L62" s="29" t="s">
        <v>1178</v>
      </c>
    </row>
    <row r="63" spans="2:12" x14ac:dyDescent="0.4">
      <c r="B63" s="141"/>
      <c r="C63" s="28" t="s">
        <v>1179</v>
      </c>
      <c r="D63" s="28" t="s">
        <v>1180</v>
      </c>
      <c r="E63" s="29" t="s">
        <v>1181</v>
      </c>
      <c r="F63" s="29" t="s">
        <v>1181</v>
      </c>
      <c r="G63" s="29" t="s">
        <v>1181</v>
      </c>
      <c r="H63" s="29" t="s">
        <v>1181</v>
      </c>
      <c r="I63" s="29" t="s">
        <v>1181</v>
      </c>
      <c r="J63" s="29" t="s">
        <v>1181</v>
      </c>
      <c r="K63" s="29" t="s">
        <v>1181</v>
      </c>
      <c r="L63" s="29" t="s">
        <v>1181</v>
      </c>
    </row>
    <row r="64" spans="2:12" x14ac:dyDescent="0.4">
      <c r="B64" s="141"/>
      <c r="C64" s="28" t="s">
        <v>1136</v>
      </c>
      <c r="D64" s="28" t="s">
        <v>1182</v>
      </c>
      <c r="E64" s="29"/>
      <c r="F64" s="29"/>
      <c r="G64" s="29"/>
      <c r="H64" s="29"/>
      <c r="I64" s="29"/>
      <c r="J64" s="29"/>
      <c r="K64" s="29"/>
      <c r="L64" s="29"/>
    </row>
    <row r="65" spans="2:12" x14ac:dyDescent="0.4">
      <c r="B65" s="141"/>
      <c r="C65" s="28" t="s">
        <v>1183</v>
      </c>
      <c r="D65" s="28" t="s">
        <v>1184</v>
      </c>
      <c r="E65" s="29" t="s">
        <v>1185</v>
      </c>
      <c r="F65" s="29" t="s">
        <v>1185</v>
      </c>
      <c r="G65" s="29" t="s">
        <v>1185</v>
      </c>
      <c r="H65" s="29" t="s">
        <v>1185</v>
      </c>
      <c r="I65" s="29" t="s">
        <v>1185</v>
      </c>
      <c r="J65" s="29" t="s">
        <v>1185</v>
      </c>
      <c r="K65" s="29" t="s">
        <v>1185</v>
      </c>
      <c r="L65" s="29" t="s">
        <v>1185</v>
      </c>
    </row>
    <row r="66" spans="2:12" x14ac:dyDescent="0.4">
      <c r="B66" s="141"/>
      <c r="C66" s="28" t="s">
        <v>1186</v>
      </c>
      <c r="D66" s="28" t="s">
        <v>1187</v>
      </c>
      <c r="E66" s="29" t="s">
        <v>1185</v>
      </c>
      <c r="F66" s="29" t="s">
        <v>1185</v>
      </c>
      <c r="G66" s="29" t="s">
        <v>1185</v>
      </c>
      <c r="H66" s="29" t="s">
        <v>1185</v>
      </c>
      <c r="I66" s="29" t="s">
        <v>1185</v>
      </c>
      <c r="J66" s="29" t="s">
        <v>1185</v>
      </c>
      <c r="K66" s="29" t="s">
        <v>1185</v>
      </c>
      <c r="L66" s="29" t="s">
        <v>1185</v>
      </c>
    </row>
    <row r="67" spans="2:12" x14ac:dyDescent="0.4">
      <c r="B67" s="141"/>
      <c r="C67" s="28" t="s">
        <v>1188</v>
      </c>
      <c r="D67" s="28" t="s">
        <v>1189</v>
      </c>
      <c r="E67" s="29" t="s">
        <v>1185</v>
      </c>
      <c r="F67" s="29" t="s">
        <v>1185</v>
      </c>
      <c r="G67" s="29" t="s">
        <v>1185</v>
      </c>
      <c r="H67" s="29" t="s">
        <v>1185</v>
      </c>
      <c r="I67" s="29" t="s">
        <v>1185</v>
      </c>
      <c r="J67" s="29" t="s">
        <v>1185</v>
      </c>
      <c r="K67" s="29" t="s">
        <v>1185</v>
      </c>
      <c r="L67" s="29" t="s">
        <v>1185</v>
      </c>
    </row>
    <row r="68" spans="2:12" x14ac:dyDescent="0.4">
      <c r="B68" s="141"/>
      <c r="C68" s="28" t="s">
        <v>1190</v>
      </c>
      <c r="D68" s="28" t="s">
        <v>1191</v>
      </c>
      <c r="E68" s="29" t="s">
        <v>1192</v>
      </c>
      <c r="F68" s="29" t="s">
        <v>1192</v>
      </c>
      <c r="G68" s="29" t="s">
        <v>1192</v>
      </c>
      <c r="H68" s="29" t="s">
        <v>1192</v>
      </c>
      <c r="I68" s="29" t="s">
        <v>1192</v>
      </c>
      <c r="J68" s="29" t="s">
        <v>1192</v>
      </c>
      <c r="K68" s="29" t="s">
        <v>1192</v>
      </c>
      <c r="L68" s="29" t="s">
        <v>1192</v>
      </c>
    </row>
    <row r="69" spans="2:12" x14ac:dyDescent="0.4">
      <c r="B69" s="134" t="s">
        <v>137</v>
      </c>
      <c r="C69" s="28" t="s">
        <v>1193</v>
      </c>
      <c r="D69" s="28" t="s">
        <v>385</v>
      </c>
      <c r="E69" s="29"/>
      <c r="F69" s="29"/>
      <c r="G69" s="29"/>
      <c r="H69" s="29"/>
      <c r="I69" s="29"/>
      <c r="J69" s="29"/>
      <c r="K69" s="29"/>
      <c r="L69" s="29"/>
    </row>
    <row r="70" spans="2:12" x14ac:dyDescent="0.4">
      <c r="B70" s="134"/>
      <c r="C70" s="28" t="s">
        <v>1194</v>
      </c>
      <c r="D70" s="28" t="s">
        <v>1195</v>
      </c>
      <c r="E70" s="29"/>
      <c r="F70" s="29"/>
      <c r="G70" s="29"/>
      <c r="H70" s="29"/>
      <c r="I70" s="29"/>
      <c r="J70" s="29"/>
      <c r="K70" s="29"/>
      <c r="L70" s="29"/>
    </row>
    <row r="71" spans="2:12" x14ac:dyDescent="0.4">
      <c r="B71" s="134"/>
      <c r="C71" s="28" t="s">
        <v>1196</v>
      </c>
      <c r="D71" s="28" t="s">
        <v>1197</v>
      </c>
      <c r="E71" s="29"/>
      <c r="F71" s="29"/>
      <c r="G71" s="29"/>
      <c r="H71" s="29"/>
      <c r="I71" s="29"/>
      <c r="J71" s="29"/>
      <c r="K71" s="29"/>
      <c r="L71" s="29"/>
    </row>
    <row r="72" spans="2:12" x14ac:dyDescent="0.4">
      <c r="B72" s="134"/>
      <c r="C72" s="28" t="s">
        <v>1198</v>
      </c>
      <c r="D72" s="28" t="s">
        <v>1199</v>
      </c>
      <c r="E72" s="29"/>
      <c r="F72" s="29"/>
      <c r="G72" s="29"/>
      <c r="H72" s="29"/>
      <c r="I72" s="29"/>
      <c r="J72" s="29"/>
      <c r="K72" s="29"/>
      <c r="L72" s="29"/>
    </row>
    <row r="73" spans="2:12" x14ac:dyDescent="0.4">
      <c r="B73" s="134"/>
      <c r="C73" s="28" t="s">
        <v>1200</v>
      </c>
      <c r="D73" s="28" t="s">
        <v>1201</v>
      </c>
      <c r="E73" s="29"/>
      <c r="F73" s="29"/>
      <c r="G73" s="29"/>
      <c r="H73" s="29"/>
      <c r="I73" s="29"/>
      <c r="J73" s="29"/>
      <c r="K73" s="29"/>
      <c r="L73" s="29"/>
    </row>
    <row r="74" spans="2:12" x14ac:dyDescent="0.4">
      <c r="B74" s="134"/>
      <c r="C74" s="28" t="s">
        <v>1202</v>
      </c>
      <c r="D74" s="28" t="s">
        <v>1203</v>
      </c>
      <c r="E74" s="29"/>
      <c r="F74" s="29"/>
      <c r="G74" s="29"/>
      <c r="H74" s="29"/>
      <c r="I74" s="29"/>
      <c r="J74" s="29"/>
      <c r="K74" s="29"/>
      <c r="L74" s="29"/>
    </row>
    <row r="75" spans="2:12" x14ac:dyDescent="0.4">
      <c r="B75" s="134"/>
      <c r="C75" s="28" t="s">
        <v>1204</v>
      </c>
      <c r="D75" s="28" t="s">
        <v>1205</v>
      </c>
      <c r="E75" s="29"/>
      <c r="F75" s="29"/>
      <c r="G75" s="29"/>
      <c r="H75" s="29"/>
      <c r="I75" s="29"/>
      <c r="J75" s="29"/>
      <c r="K75" s="29"/>
      <c r="L75" s="29"/>
    </row>
    <row r="76" spans="2:12" x14ac:dyDescent="0.4">
      <c r="B76" s="32"/>
      <c r="C76" s="32"/>
      <c r="D76" s="32"/>
      <c r="E76" s="32"/>
      <c r="F76" s="32"/>
      <c r="G76" s="32"/>
      <c r="H76" s="32"/>
      <c r="I76" s="32"/>
      <c r="J76" s="32"/>
      <c r="K76" s="32"/>
      <c r="L76" s="32"/>
    </row>
    <row r="77" spans="2:12" x14ac:dyDescent="0.4">
      <c r="B77" t="s">
        <v>1206</v>
      </c>
      <c r="C77" s="32"/>
      <c r="D77" s="32"/>
      <c r="E77" s="32"/>
      <c r="F77" s="32"/>
      <c r="G77" s="32"/>
      <c r="H77" s="32"/>
      <c r="I77" s="32"/>
      <c r="J77" s="32"/>
      <c r="K77" s="32"/>
      <c r="L77" s="32"/>
    </row>
    <row r="78" spans="2:12" x14ac:dyDescent="0.4">
      <c r="B78" s="32"/>
      <c r="C78" s="32"/>
      <c r="D78" s="32"/>
      <c r="E78" s="32"/>
      <c r="F78" s="32"/>
      <c r="G78" s="32"/>
      <c r="H78" s="32"/>
      <c r="I78" s="32"/>
      <c r="J78" s="32"/>
      <c r="K78" s="32"/>
      <c r="L78" s="32"/>
    </row>
  </sheetData>
  <mergeCells count="12">
    <mergeCell ref="B69:B75"/>
    <mergeCell ref="B2:B3"/>
    <mergeCell ref="C2:D2"/>
    <mergeCell ref="E2:L2"/>
    <mergeCell ref="C3:D3"/>
    <mergeCell ref="B4:B12"/>
    <mergeCell ref="B13:B23"/>
    <mergeCell ref="B24:B30"/>
    <mergeCell ref="B31:B37"/>
    <mergeCell ref="B38:B41"/>
    <mergeCell ref="B42:B46"/>
    <mergeCell ref="B47:B68"/>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3A79C-E99B-4111-AC51-16A9708E8FB6}">
  <sheetPr codeName="Sheet3">
    <tabColor rgb="FFFF0000"/>
  </sheetPr>
  <dimension ref="A1:E247"/>
  <sheetViews>
    <sheetView workbookViewId="0"/>
  </sheetViews>
  <sheetFormatPr defaultRowHeight="15.75" x14ac:dyDescent="0.4"/>
  <cols>
    <col min="1" max="1" width="6.5" style="21" bestFit="1" customWidth="1"/>
    <col min="2" max="2" width="11.5" style="20" bestFit="1" customWidth="1"/>
    <col min="3" max="3" width="62.25" style="22" bestFit="1" customWidth="1"/>
    <col min="4" max="4" width="101.875" style="106" bestFit="1" customWidth="1"/>
    <col min="5" max="5" width="2.625" style="20" customWidth="1"/>
    <col min="6" max="16384" width="9" style="20"/>
  </cols>
  <sheetData>
    <row r="1" spans="1:5" ht="17.25" thickTop="1" thickBot="1" x14ac:dyDescent="0.45">
      <c r="A1" s="88" t="s">
        <v>604</v>
      </c>
      <c r="B1" s="89" t="s">
        <v>606</v>
      </c>
      <c r="C1" s="89" t="s">
        <v>592</v>
      </c>
      <c r="D1" s="105" t="s">
        <v>605</v>
      </c>
      <c r="E1" s="90"/>
    </row>
    <row r="2" spans="1:5" x14ac:dyDescent="0.4">
      <c r="A2" s="81" t="s">
        <v>1712</v>
      </c>
      <c r="B2" s="20" t="s">
        <v>576</v>
      </c>
      <c r="C2" s="22" t="s">
        <v>1539</v>
      </c>
      <c r="D2" s="106" t="s">
        <v>2</v>
      </c>
      <c r="E2" s="82"/>
    </row>
    <row r="3" spans="1:5" x14ac:dyDescent="0.4">
      <c r="A3" s="81" t="s">
        <v>1713</v>
      </c>
      <c r="B3" s="20" t="s">
        <v>607</v>
      </c>
      <c r="C3" s="22" t="s">
        <v>0</v>
      </c>
      <c r="D3" s="106" t="s">
        <v>10</v>
      </c>
      <c r="E3" s="82"/>
    </row>
    <row r="4" spans="1:5" x14ac:dyDescent="0.4">
      <c r="A4" s="81" t="s">
        <v>1714</v>
      </c>
      <c r="B4" s="20" t="s">
        <v>608</v>
      </c>
      <c r="C4" s="22" t="s">
        <v>546</v>
      </c>
      <c r="D4" s="107" t="s">
        <v>1531</v>
      </c>
      <c r="E4" s="82"/>
    </row>
    <row r="5" spans="1:5" x14ac:dyDescent="0.4">
      <c r="A5" s="81" t="s">
        <v>1715</v>
      </c>
      <c r="B5" s="20" t="s">
        <v>609</v>
      </c>
      <c r="C5" s="22" t="s">
        <v>1</v>
      </c>
      <c r="D5" s="107" t="s">
        <v>582</v>
      </c>
      <c r="E5" s="82"/>
    </row>
    <row r="6" spans="1:5" x14ac:dyDescent="0.4">
      <c r="A6" s="81" t="s">
        <v>1716</v>
      </c>
      <c r="B6" s="20" t="s">
        <v>610</v>
      </c>
      <c r="C6" s="22" t="s">
        <v>6</v>
      </c>
      <c r="D6" s="107" t="s">
        <v>1725</v>
      </c>
      <c r="E6" s="82"/>
    </row>
    <row r="7" spans="1:5" x14ac:dyDescent="0.4">
      <c r="A7" s="81" t="s">
        <v>1717</v>
      </c>
      <c r="B7" s="20" t="s">
        <v>611</v>
      </c>
      <c r="C7" s="22" t="s">
        <v>578</v>
      </c>
      <c r="D7" s="108" t="b">
        <v>1</v>
      </c>
      <c r="E7" s="82"/>
    </row>
    <row r="8" spans="1:5" x14ac:dyDescent="0.4">
      <c r="A8" s="81" t="s">
        <v>1718</v>
      </c>
      <c r="B8" s="20" t="s">
        <v>612</v>
      </c>
      <c r="C8" s="22" t="s">
        <v>579</v>
      </c>
      <c r="D8" s="108" t="b">
        <v>1</v>
      </c>
      <c r="E8" s="82"/>
    </row>
    <row r="9" spans="1:5" x14ac:dyDescent="0.4">
      <c r="A9" s="81" t="s">
        <v>1719</v>
      </c>
      <c r="B9" s="20" t="s">
        <v>613</v>
      </c>
      <c r="C9" s="22" t="s">
        <v>601</v>
      </c>
      <c r="D9" s="106">
        <v>29.81</v>
      </c>
      <c r="E9" s="82"/>
    </row>
    <row r="10" spans="1:5" x14ac:dyDescent="0.4">
      <c r="A10" s="81" t="s">
        <v>1720</v>
      </c>
      <c r="B10" s="20" t="s">
        <v>614</v>
      </c>
      <c r="C10" s="22" t="s">
        <v>602</v>
      </c>
      <c r="D10" s="106">
        <v>51.34</v>
      </c>
      <c r="E10" s="82"/>
    </row>
    <row r="11" spans="1:5" x14ac:dyDescent="0.4">
      <c r="A11" s="81" t="s">
        <v>1721</v>
      </c>
      <c r="B11" s="20" t="s">
        <v>615</v>
      </c>
      <c r="C11" s="22" t="s">
        <v>603</v>
      </c>
      <c r="D11" s="106">
        <v>120.08</v>
      </c>
      <c r="E11" s="82"/>
    </row>
    <row r="12" spans="1:5" x14ac:dyDescent="0.4">
      <c r="A12" s="81" t="s">
        <v>1722</v>
      </c>
      <c r="B12" s="20" t="s">
        <v>616</v>
      </c>
      <c r="C12" s="22" t="s">
        <v>7</v>
      </c>
      <c r="D12" s="107">
        <v>2</v>
      </c>
      <c r="E12" s="82"/>
    </row>
    <row r="13" spans="1:5" x14ac:dyDescent="0.4">
      <c r="A13" s="81" t="s">
        <v>1723</v>
      </c>
      <c r="B13" s="20" t="s">
        <v>617</v>
      </c>
      <c r="C13" s="22" t="s">
        <v>8</v>
      </c>
      <c r="D13" s="107" t="b">
        <v>0</v>
      </c>
      <c r="E13" s="82"/>
    </row>
    <row r="14" spans="1:5" ht="16.5" thickBot="1" x14ac:dyDescent="0.45">
      <c r="A14" s="81" t="s">
        <v>1724</v>
      </c>
      <c r="B14" s="20" t="s">
        <v>618</v>
      </c>
      <c r="C14" s="22" t="s">
        <v>9</v>
      </c>
      <c r="D14" s="107" t="s">
        <v>584</v>
      </c>
      <c r="E14" s="82"/>
    </row>
    <row r="15" spans="1:5" ht="16.5" thickTop="1" x14ac:dyDescent="0.4">
      <c r="A15" s="91" t="s">
        <v>1698</v>
      </c>
      <c r="B15" s="92" t="s">
        <v>622</v>
      </c>
      <c r="C15" s="93" t="s">
        <v>1709</v>
      </c>
      <c r="D15" s="109" t="s">
        <v>1085</v>
      </c>
      <c r="E15" s="82"/>
    </row>
    <row r="16" spans="1:5" x14ac:dyDescent="0.4">
      <c r="A16" s="81" t="s">
        <v>1699</v>
      </c>
      <c r="B16" s="20" t="s">
        <v>142</v>
      </c>
      <c r="C16" s="22" t="s">
        <v>38</v>
      </c>
      <c r="D16" s="110" t="s">
        <v>163</v>
      </c>
      <c r="E16" s="82"/>
    </row>
    <row r="17" spans="1:5" x14ac:dyDescent="0.4">
      <c r="A17" s="81" t="s">
        <v>1700</v>
      </c>
      <c r="B17" s="20" t="s">
        <v>144</v>
      </c>
      <c r="C17" s="22" t="s">
        <v>29</v>
      </c>
      <c r="D17" s="110" t="s">
        <v>159</v>
      </c>
      <c r="E17" s="82"/>
    </row>
    <row r="18" spans="1:5" x14ac:dyDescent="0.4">
      <c r="A18" s="81" t="s">
        <v>1701</v>
      </c>
      <c r="B18" s="20" t="s">
        <v>145</v>
      </c>
      <c r="C18" s="22" t="s">
        <v>30</v>
      </c>
      <c r="D18" s="110" t="s">
        <v>165</v>
      </c>
      <c r="E18" s="82"/>
    </row>
    <row r="19" spans="1:5" x14ac:dyDescent="0.4">
      <c r="A19" s="81" t="s">
        <v>1702</v>
      </c>
      <c r="B19" s="20" t="s">
        <v>146</v>
      </c>
      <c r="C19" s="22" t="s">
        <v>31</v>
      </c>
      <c r="D19" s="110" t="s">
        <v>169</v>
      </c>
      <c r="E19" s="82"/>
    </row>
    <row r="20" spans="1:5" x14ac:dyDescent="0.4">
      <c r="A20" s="81" t="s">
        <v>1703</v>
      </c>
      <c r="B20" s="20" t="s">
        <v>753</v>
      </c>
      <c r="C20" s="22" t="s">
        <v>619</v>
      </c>
      <c r="D20" s="107">
        <v>0</v>
      </c>
      <c r="E20" s="82"/>
    </row>
    <row r="21" spans="1:5" x14ac:dyDescent="0.4">
      <c r="A21" s="81" t="s">
        <v>1704</v>
      </c>
      <c r="B21" s="20" t="s">
        <v>754</v>
      </c>
      <c r="C21" s="22" t="s">
        <v>620</v>
      </c>
      <c r="D21" s="107">
        <v>5</v>
      </c>
      <c r="E21" s="82"/>
    </row>
    <row r="22" spans="1:5" x14ac:dyDescent="0.4">
      <c r="A22" s="81" t="s">
        <v>1705</v>
      </c>
      <c r="B22" s="20" t="s">
        <v>755</v>
      </c>
      <c r="C22" s="22" t="s">
        <v>32</v>
      </c>
      <c r="D22" s="107" t="s">
        <v>1509</v>
      </c>
      <c r="E22" s="82"/>
    </row>
    <row r="23" spans="1:5" x14ac:dyDescent="0.4">
      <c r="A23" s="81" t="s">
        <v>1706</v>
      </c>
      <c r="B23" s="20" t="s">
        <v>756</v>
      </c>
      <c r="C23" s="22" t="s">
        <v>33</v>
      </c>
      <c r="D23" s="107" t="s">
        <v>1513</v>
      </c>
      <c r="E23" s="82"/>
    </row>
    <row r="24" spans="1:5" x14ac:dyDescent="0.4">
      <c r="A24" s="81" t="s">
        <v>1707</v>
      </c>
      <c r="B24" s="20" t="s">
        <v>757</v>
      </c>
      <c r="C24" s="22" t="s">
        <v>621</v>
      </c>
      <c r="D24" s="106">
        <v>30</v>
      </c>
      <c r="E24" s="82"/>
    </row>
    <row r="25" spans="1:5" x14ac:dyDescent="0.4">
      <c r="A25" s="83" t="s">
        <v>1708</v>
      </c>
      <c r="B25" s="23" t="s">
        <v>758</v>
      </c>
      <c r="C25" s="24" t="s">
        <v>45</v>
      </c>
      <c r="D25" s="111" t="s">
        <v>1515</v>
      </c>
      <c r="E25" s="82"/>
    </row>
    <row r="26" spans="1:5" hidden="1" x14ac:dyDescent="0.4">
      <c r="A26" s="81" t="s">
        <v>593</v>
      </c>
      <c r="B26" s="20" t="s">
        <v>639</v>
      </c>
      <c r="C26" s="25" t="s">
        <v>48</v>
      </c>
      <c r="D26" s="107" t="s">
        <v>49</v>
      </c>
      <c r="E26" s="82"/>
    </row>
    <row r="27" spans="1:5" hidden="1" x14ac:dyDescent="0.4">
      <c r="A27" s="81" t="s">
        <v>594</v>
      </c>
      <c r="B27" s="20" t="s">
        <v>640</v>
      </c>
      <c r="C27" s="25" t="s">
        <v>233</v>
      </c>
      <c r="D27" s="108" t="s">
        <v>52</v>
      </c>
      <c r="E27" s="82"/>
    </row>
    <row r="28" spans="1:5" hidden="1" x14ac:dyDescent="0.4">
      <c r="A28" s="81" t="s">
        <v>595</v>
      </c>
      <c r="B28" s="20" t="s">
        <v>641</v>
      </c>
      <c r="C28" s="25" t="s">
        <v>234</v>
      </c>
      <c r="D28" s="107" t="s">
        <v>54</v>
      </c>
      <c r="E28" s="82"/>
    </row>
    <row r="29" spans="1:5" hidden="1" x14ac:dyDescent="0.4">
      <c r="A29" s="81" t="s">
        <v>596</v>
      </c>
      <c r="B29" s="20" t="s">
        <v>642</v>
      </c>
      <c r="C29" s="25" t="s">
        <v>235</v>
      </c>
      <c r="D29" s="107" t="s">
        <v>187</v>
      </c>
      <c r="E29" s="82"/>
    </row>
    <row r="30" spans="1:5" hidden="1" x14ac:dyDescent="0.4">
      <c r="A30" s="81" t="s">
        <v>580</v>
      </c>
      <c r="B30" s="20" t="s">
        <v>643</v>
      </c>
      <c r="C30" s="25" t="s">
        <v>236</v>
      </c>
      <c r="D30" s="108" t="s">
        <v>177</v>
      </c>
      <c r="E30" s="82"/>
    </row>
    <row r="31" spans="1:5" hidden="1" x14ac:dyDescent="0.4">
      <c r="A31" s="81" t="s">
        <v>597</v>
      </c>
      <c r="B31" s="20" t="s">
        <v>759</v>
      </c>
      <c r="C31" s="25" t="s">
        <v>237</v>
      </c>
      <c r="D31" s="108" t="s">
        <v>178</v>
      </c>
      <c r="E31" s="82"/>
    </row>
    <row r="32" spans="1:5" hidden="1" x14ac:dyDescent="0.4">
      <c r="A32" s="81" t="s">
        <v>598</v>
      </c>
      <c r="B32" s="20" t="s">
        <v>760</v>
      </c>
      <c r="C32" s="25" t="s">
        <v>238</v>
      </c>
      <c r="D32" s="108" t="s">
        <v>54</v>
      </c>
      <c r="E32" s="82"/>
    </row>
    <row r="33" spans="1:5" hidden="1" x14ac:dyDescent="0.4">
      <c r="A33" s="81" t="s">
        <v>599</v>
      </c>
      <c r="B33" s="20" t="s">
        <v>761</v>
      </c>
      <c r="C33" s="25" t="s">
        <v>239</v>
      </c>
      <c r="D33" s="107" t="s">
        <v>181</v>
      </c>
      <c r="E33" s="82"/>
    </row>
    <row r="34" spans="1:5" hidden="1" x14ac:dyDescent="0.4">
      <c r="A34" s="81" t="s">
        <v>581</v>
      </c>
      <c r="B34" s="20" t="s">
        <v>762</v>
      </c>
      <c r="C34" s="25" t="s">
        <v>240</v>
      </c>
      <c r="D34" s="107" t="s">
        <v>54</v>
      </c>
      <c r="E34" s="82"/>
    </row>
    <row r="35" spans="1:5" hidden="1" x14ac:dyDescent="0.4">
      <c r="A35" s="81" t="s">
        <v>600</v>
      </c>
      <c r="B35" s="20" t="s">
        <v>763</v>
      </c>
      <c r="C35" s="25" t="s">
        <v>241</v>
      </c>
      <c r="D35" s="107" t="s">
        <v>189</v>
      </c>
      <c r="E35" s="82"/>
    </row>
    <row r="36" spans="1:5" hidden="1" x14ac:dyDescent="0.4">
      <c r="A36" s="81" t="s">
        <v>663</v>
      </c>
      <c r="B36" s="20" t="s">
        <v>764</v>
      </c>
      <c r="C36" s="25" t="s">
        <v>271</v>
      </c>
      <c r="D36" s="108" t="s">
        <v>156</v>
      </c>
      <c r="E36" s="82"/>
    </row>
    <row r="37" spans="1:5" hidden="1" x14ac:dyDescent="0.4">
      <c r="A37" s="81" t="s">
        <v>664</v>
      </c>
      <c r="B37" s="20" t="s">
        <v>765</v>
      </c>
      <c r="C37" s="25" t="s">
        <v>242</v>
      </c>
      <c r="D37" s="108" t="s">
        <v>56</v>
      </c>
      <c r="E37" s="82"/>
    </row>
    <row r="38" spans="1:5" hidden="1" x14ac:dyDescent="0.4">
      <c r="A38" s="81" t="s">
        <v>665</v>
      </c>
      <c r="B38" s="20" t="s">
        <v>766</v>
      </c>
      <c r="C38" s="25" t="s">
        <v>243</v>
      </c>
      <c r="D38" s="108" t="s">
        <v>70</v>
      </c>
      <c r="E38" s="82"/>
    </row>
    <row r="39" spans="1:5" hidden="1" x14ac:dyDescent="0.4">
      <c r="A39" s="81" t="s">
        <v>666</v>
      </c>
      <c r="B39" s="20" t="s">
        <v>767</v>
      </c>
      <c r="C39" s="25" t="s">
        <v>244</v>
      </c>
      <c r="D39" s="108">
        <v>12.5</v>
      </c>
      <c r="E39" s="82"/>
    </row>
    <row r="40" spans="1:5" hidden="1" x14ac:dyDescent="0.4">
      <c r="A40" s="81" t="s">
        <v>667</v>
      </c>
      <c r="B40" s="20" t="s">
        <v>768</v>
      </c>
      <c r="C40" s="25" t="s">
        <v>245</v>
      </c>
      <c r="D40" s="108">
        <v>63.7</v>
      </c>
      <c r="E40" s="82"/>
    </row>
    <row r="41" spans="1:5" hidden="1" x14ac:dyDescent="0.4">
      <c r="A41" s="81" t="s">
        <v>668</v>
      </c>
      <c r="B41" s="20" t="s">
        <v>769</v>
      </c>
      <c r="C41" s="25" t="s">
        <v>246</v>
      </c>
      <c r="D41" s="108">
        <v>155</v>
      </c>
      <c r="E41" s="82"/>
    </row>
    <row r="42" spans="1:5" hidden="1" x14ac:dyDescent="0.4">
      <c r="A42" s="81" t="s">
        <v>669</v>
      </c>
      <c r="B42" s="20" t="s">
        <v>770</v>
      </c>
      <c r="C42" s="25" t="s">
        <v>247</v>
      </c>
      <c r="D42" s="108">
        <v>134</v>
      </c>
      <c r="E42" s="82"/>
    </row>
    <row r="43" spans="1:5" hidden="1" x14ac:dyDescent="0.4">
      <c r="A43" s="81" t="s">
        <v>670</v>
      </c>
      <c r="B43" s="20" t="s">
        <v>771</v>
      </c>
      <c r="C43" s="25" t="s">
        <v>248</v>
      </c>
      <c r="D43" s="108" t="s">
        <v>221</v>
      </c>
      <c r="E43" s="82"/>
    </row>
    <row r="44" spans="1:5" hidden="1" x14ac:dyDescent="0.4">
      <c r="A44" s="81" t="s">
        <v>671</v>
      </c>
      <c r="B44" s="20" t="s">
        <v>772</v>
      </c>
      <c r="C44" s="25" t="s">
        <v>249</v>
      </c>
      <c r="D44" s="108" t="s">
        <v>52</v>
      </c>
      <c r="E44" s="82"/>
    </row>
    <row r="45" spans="1:5" hidden="1" x14ac:dyDescent="0.4">
      <c r="A45" s="81" t="s">
        <v>672</v>
      </c>
      <c r="B45" s="20" t="s">
        <v>773</v>
      </c>
      <c r="C45" s="25" t="s">
        <v>250</v>
      </c>
      <c r="D45" s="108" t="s">
        <v>54</v>
      </c>
      <c r="E45" s="82"/>
    </row>
    <row r="46" spans="1:5" hidden="1" x14ac:dyDescent="0.4">
      <c r="A46" s="81" t="s">
        <v>673</v>
      </c>
      <c r="B46" s="20" t="s">
        <v>774</v>
      </c>
      <c r="C46" s="25" t="s">
        <v>251</v>
      </c>
      <c r="D46" s="107" t="s">
        <v>187</v>
      </c>
      <c r="E46" s="82"/>
    </row>
    <row r="47" spans="1:5" hidden="1" x14ac:dyDescent="0.4">
      <c r="A47" s="81" t="s">
        <v>674</v>
      </c>
      <c r="B47" s="20" t="s">
        <v>775</v>
      </c>
      <c r="C47" s="25" t="s">
        <v>252</v>
      </c>
      <c r="D47" s="107" t="s">
        <v>177</v>
      </c>
      <c r="E47" s="82"/>
    </row>
    <row r="48" spans="1:5" hidden="1" x14ac:dyDescent="0.4">
      <c r="A48" s="81" t="s">
        <v>675</v>
      </c>
      <c r="B48" s="20" t="s">
        <v>776</v>
      </c>
      <c r="C48" s="25" t="s">
        <v>253</v>
      </c>
      <c r="D48" s="107" t="s">
        <v>178</v>
      </c>
      <c r="E48" s="82"/>
    </row>
    <row r="49" spans="1:5" hidden="1" x14ac:dyDescent="0.4">
      <c r="A49" s="81" t="s">
        <v>676</v>
      </c>
      <c r="B49" s="20" t="s">
        <v>777</v>
      </c>
      <c r="C49" s="25" t="s">
        <v>254</v>
      </c>
      <c r="D49" s="107" t="s">
        <v>54</v>
      </c>
      <c r="E49" s="82"/>
    </row>
    <row r="50" spans="1:5" hidden="1" x14ac:dyDescent="0.4">
      <c r="A50" s="81" t="s">
        <v>677</v>
      </c>
      <c r="B50" s="20" t="s">
        <v>778</v>
      </c>
      <c r="C50" s="25" t="s">
        <v>255</v>
      </c>
      <c r="D50" s="107" t="s">
        <v>181</v>
      </c>
      <c r="E50" s="82"/>
    </row>
    <row r="51" spans="1:5" hidden="1" x14ac:dyDescent="0.4">
      <c r="A51" s="81" t="s">
        <v>678</v>
      </c>
      <c r="B51" s="20" t="s">
        <v>779</v>
      </c>
      <c r="C51" s="25" t="s">
        <v>272</v>
      </c>
      <c r="D51" s="107" t="s">
        <v>156</v>
      </c>
      <c r="E51" s="82"/>
    </row>
    <row r="52" spans="1:5" hidden="1" x14ac:dyDescent="0.4">
      <c r="A52" s="81" t="s">
        <v>679</v>
      </c>
      <c r="B52" s="20" t="s">
        <v>780</v>
      </c>
      <c r="C52" s="25" t="s">
        <v>256</v>
      </c>
      <c r="D52" s="107" t="s">
        <v>56</v>
      </c>
      <c r="E52" s="82"/>
    </row>
    <row r="53" spans="1:5" hidden="1" x14ac:dyDescent="0.4">
      <c r="A53" s="81" t="s">
        <v>680</v>
      </c>
      <c r="B53" s="20" t="s">
        <v>781</v>
      </c>
      <c r="C53" s="25" t="s">
        <v>257</v>
      </c>
      <c r="D53" s="107" t="s">
        <v>70</v>
      </c>
      <c r="E53" s="82"/>
    </row>
    <row r="54" spans="1:5" hidden="1" x14ac:dyDescent="0.4">
      <c r="A54" s="81" t="s">
        <v>681</v>
      </c>
      <c r="B54" s="20" t="s">
        <v>782</v>
      </c>
      <c r="C54" s="25" t="s">
        <v>258</v>
      </c>
      <c r="D54" s="107">
        <v>12.5</v>
      </c>
      <c r="E54" s="82"/>
    </row>
    <row r="55" spans="1:5" hidden="1" x14ac:dyDescent="0.4">
      <c r="A55" s="81" t="s">
        <v>682</v>
      </c>
      <c r="B55" s="20" t="s">
        <v>783</v>
      </c>
      <c r="C55" s="25" t="s">
        <v>259</v>
      </c>
      <c r="D55" s="107">
        <v>63.7</v>
      </c>
      <c r="E55" s="82"/>
    </row>
    <row r="56" spans="1:5" hidden="1" x14ac:dyDescent="0.4">
      <c r="A56" s="81" t="s">
        <v>683</v>
      </c>
      <c r="B56" s="20" t="s">
        <v>784</v>
      </c>
      <c r="C56" s="25" t="s">
        <v>260</v>
      </c>
      <c r="D56" s="107">
        <v>155</v>
      </c>
      <c r="E56" s="82"/>
    </row>
    <row r="57" spans="1:5" hidden="1" x14ac:dyDescent="0.4">
      <c r="A57" s="81" t="s">
        <v>684</v>
      </c>
      <c r="B57" s="20" t="s">
        <v>785</v>
      </c>
      <c r="C57" s="25" t="s">
        <v>261</v>
      </c>
      <c r="D57" s="107">
        <v>134</v>
      </c>
      <c r="E57" s="82"/>
    </row>
    <row r="58" spans="1:5" hidden="1" x14ac:dyDescent="0.4">
      <c r="A58" s="81" t="s">
        <v>685</v>
      </c>
      <c r="B58" s="20" t="s">
        <v>786</v>
      </c>
      <c r="C58" s="25" t="s">
        <v>262</v>
      </c>
      <c r="D58" s="107" t="s">
        <v>221</v>
      </c>
      <c r="E58" s="82"/>
    </row>
    <row r="59" spans="1:5" hidden="1" x14ac:dyDescent="0.4">
      <c r="A59" s="81" t="s">
        <v>686</v>
      </c>
      <c r="B59" s="20" t="s">
        <v>787</v>
      </c>
      <c r="C59" s="25" t="s">
        <v>57</v>
      </c>
      <c r="D59" s="107" t="s">
        <v>58</v>
      </c>
      <c r="E59" s="82"/>
    </row>
    <row r="60" spans="1:5" hidden="1" x14ac:dyDescent="0.4">
      <c r="A60" s="81" t="s">
        <v>687</v>
      </c>
      <c r="B60" s="20" t="s">
        <v>788</v>
      </c>
      <c r="C60" s="25" t="s">
        <v>68</v>
      </c>
      <c r="D60" s="107" t="s">
        <v>54</v>
      </c>
      <c r="E60" s="82"/>
    </row>
    <row r="61" spans="1:5" hidden="1" x14ac:dyDescent="0.4">
      <c r="A61" s="81" t="s">
        <v>688</v>
      </c>
      <c r="B61" s="20" t="s">
        <v>789</v>
      </c>
      <c r="C61" s="25" t="s">
        <v>180</v>
      </c>
      <c r="D61" s="107" t="s">
        <v>222</v>
      </c>
      <c r="E61" s="82"/>
    </row>
    <row r="62" spans="1:5" hidden="1" x14ac:dyDescent="0.4">
      <c r="A62" s="81" t="s">
        <v>689</v>
      </c>
      <c r="B62" s="20" t="s">
        <v>790</v>
      </c>
      <c r="C62" s="25" t="s">
        <v>217</v>
      </c>
      <c r="D62" s="107" t="s">
        <v>54</v>
      </c>
      <c r="E62" s="82"/>
    </row>
    <row r="63" spans="1:5" hidden="1" x14ac:dyDescent="0.4">
      <c r="A63" s="81" t="s">
        <v>690</v>
      </c>
      <c r="B63" s="20" t="s">
        <v>791</v>
      </c>
      <c r="C63" s="25" t="s">
        <v>218</v>
      </c>
      <c r="D63" s="107">
        <v>1</v>
      </c>
      <c r="E63" s="82"/>
    </row>
    <row r="64" spans="1:5" hidden="1" x14ac:dyDescent="0.4">
      <c r="A64" s="81" t="s">
        <v>691</v>
      </c>
      <c r="B64" s="20" t="s">
        <v>792</v>
      </c>
      <c r="C64" s="25" t="s">
        <v>219</v>
      </c>
      <c r="D64" s="107" t="s">
        <v>220</v>
      </c>
      <c r="E64" s="82"/>
    </row>
    <row r="65" spans="1:5" hidden="1" x14ac:dyDescent="0.4">
      <c r="A65" s="81" t="s">
        <v>692</v>
      </c>
      <c r="B65" s="20" t="s">
        <v>793</v>
      </c>
      <c r="C65" s="25" t="s">
        <v>69</v>
      </c>
      <c r="D65" s="107" t="s">
        <v>70</v>
      </c>
      <c r="E65" s="82"/>
    </row>
    <row r="66" spans="1:5" hidden="1" x14ac:dyDescent="0.4">
      <c r="A66" s="81" t="s">
        <v>693</v>
      </c>
      <c r="B66" s="20" t="s">
        <v>794</v>
      </c>
      <c r="C66" s="25" t="s">
        <v>72</v>
      </c>
      <c r="D66" s="107" t="s">
        <v>73</v>
      </c>
      <c r="E66" s="82"/>
    </row>
    <row r="67" spans="1:5" hidden="1" x14ac:dyDescent="0.4">
      <c r="A67" s="81" t="s">
        <v>694</v>
      </c>
      <c r="B67" s="20" t="s">
        <v>795</v>
      </c>
      <c r="C67" s="25" t="s">
        <v>75</v>
      </c>
      <c r="D67" s="107" t="s">
        <v>76</v>
      </c>
      <c r="E67" s="82"/>
    </row>
    <row r="68" spans="1:5" hidden="1" x14ac:dyDescent="0.4">
      <c r="A68" s="81" t="s">
        <v>695</v>
      </c>
      <c r="B68" s="20" t="s">
        <v>796</v>
      </c>
      <c r="C68" s="25" t="s">
        <v>77</v>
      </c>
      <c r="D68" s="107" t="s">
        <v>73</v>
      </c>
      <c r="E68" s="82"/>
    </row>
    <row r="69" spans="1:5" hidden="1" x14ac:dyDescent="0.4">
      <c r="A69" s="81" t="s">
        <v>696</v>
      </c>
      <c r="B69" s="20" t="s">
        <v>797</v>
      </c>
      <c r="C69" s="25" t="s">
        <v>78</v>
      </c>
      <c r="D69" s="107" t="s">
        <v>71</v>
      </c>
      <c r="E69" s="82"/>
    </row>
    <row r="70" spans="1:5" hidden="1" x14ac:dyDescent="0.4">
      <c r="A70" s="81" t="s">
        <v>697</v>
      </c>
      <c r="B70" s="20" t="s">
        <v>798</v>
      </c>
      <c r="C70" s="25" t="s">
        <v>80</v>
      </c>
      <c r="D70" s="107" t="s">
        <v>81</v>
      </c>
      <c r="E70" s="82"/>
    </row>
    <row r="71" spans="1:5" hidden="1" x14ac:dyDescent="0.4">
      <c r="A71" s="81" t="s">
        <v>698</v>
      </c>
      <c r="B71" s="20" t="s">
        <v>799</v>
      </c>
      <c r="C71" s="25" t="s">
        <v>83</v>
      </c>
      <c r="D71" s="107" t="s">
        <v>54</v>
      </c>
      <c r="E71" s="82"/>
    </row>
    <row r="72" spans="1:5" hidden="1" x14ac:dyDescent="0.4">
      <c r="A72" s="81" t="s">
        <v>699</v>
      </c>
      <c r="B72" s="20" t="s">
        <v>800</v>
      </c>
      <c r="C72" s="25" t="s">
        <v>263</v>
      </c>
      <c r="D72" s="107">
        <v>99</v>
      </c>
      <c r="E72" s="82"/>
    </row>
    <row r="73" spans="1:5" hidden="1" x14ac:dyDescent="0.4">
      <c r="A73" s="81" t="s">
        <v>700</v>
      </c>
      <c r="B73" s="20" t="s">
        <v>801</v>
      </c>
      <c r="C73" s="25" t="s">
        <v>264</v>
      </c>
      <c r="D73" s="107">
        <v>99</v>
      </c>
      <c r="E73" s="82"/>
    </row>
    <row r="74" spans="1:5" hidden="1" x14ac:dyDescent="0.4">
      <c r="A74" s="81" t="s">
        <v>701</v>
      </c>
      <c r="B74" s="20" t="s">
        <v>802</v>
      </c>
      <c r="C74" s="25" t="s">
        <v>265</v>
      </c>
      <c r="D74" s="107">
        <v>99</v>
      </c>
      <c r="E74" s="82"/>
    </row>
    <row r="75" spans="1:5" hidden="1" x14ac:dyDescent="0.4">
      <c r="A75" s="81" t="s">
        <v>702</v>
      </c>
      <c r="B75" s="20" t="s">
        <v>803</v>
      </c>
      <c r="C75" s="25" t="s">
        <v>266</v>
      </c>
      <c r="D75" s="107">
        <v>99</v>
      </c>
      <c r="E75" s="82"/>
    </row>
    <row r="76" spans="1:5" hidden="1" x14ac:dyDescent="0.4">
      <c r="A76" s="81" t="s">
        <v>703</v>
      </c>
      <c r="B76" s="20" t="s">
        <v>804</v>
      </c>
      <c r="C76" s="25" t="s">
        <v>267</v>
      </c>
      <c r="D76" s="107">
        <v>99</v>
      </c>
      <c r="E76" s="82"/>
    </row>
    <row r="77" spans="1:5" hidden="1" x14ac:dyDescent="0.4">
      <c r="A77" s="81" t="s">
        <v>704</v>
      </c>
      <c r="B77" s="20" t="s">
        <v>805</v>
      </c>
      <c r="C77" s="25" t="s">
        <v>268</v>
      </c>
      <c r="D77" s="107">
        <v>99</v>
      </c>
      <c r="E77" s="82"/>
    </row>
    <row r="78" spans="1:5" hidden="1" x14ac:dyDescent="0.4">
      <c r="A78" s="81" t="s">
        <v>705</v>
      </c>
      <c r="B78" s="20" t="s">
        <v>806</v>
      </c>
      <c r="C78" s="25" t="s">
        <v>269</v>
      </c>
      <c r="D78" s="107">
        <v>99</v>
      </c>
      <c r="E78" s="82"/>
    </row>
    <row r="79" spans="1:5" hidden="1" x14ac:dyDescent="0.4">
      <c r="A79" s="81" t="s">
        <v>706</v>
      </c>
      <c r="B79" s="20" t="s">
        <v>807</v>
      </c>
      <c r="C79" s="25" t="s">
        <v>270</v>
      </c>
      <c r="D79" s="107">
        <v>99</v>
      </c>
      <c r="E79" s="82"/>
    </row>
    <row r="80" spans="1:5" hidden="1" x14ac:dyDescent="0.4">
      <c r="A80" s="81" t="s">
        <v>707</v>
      </c>
      <c r="B80" s="20" t="s">
        <v>808</v>
      </c>
      <c r="C80" s="25" t="s">
        <v>86</v>
      </c>
      <c r="D80" s="108" t="s">
        <v>54</v>
      </c>
      <c r="E80" s="82"/>
    </row>
    <row r="81" spans="1:5" hidden="1" x14ac:dyDescent="0.4">
      <c r="A81" s="83" t="s">
        <v>708</v>
      </c>
      <c r="B81" s="23" t="s">
        <v>809</v>
      </c>
      <c r="C81" s="26" t="s">
        <v>232</v>
      </c>
      <c r="D81" s="111">
        <v>99</v>
      </c>
      <c r="E81" s="82"/>
    </row>
    <row r="82" spans="1:5" hidden="1" x14ac:dyDescent="0.4">
      <c r="A82" s="81" t="s">
        <v>723</v>
      </c>
      <c r="B82" s="20" t="s">
        <v>810</v>
      </c>
      <c r="C82" s="22" t="s">
        <v>284</v>
      </c>
      <c r="D82" s="106" t="s">
        <v>286</v>
      </c>
      <c r="E82" s="82"/>
    </row>
    <row r="83" spans="1:5" hidden="1" x14ac:dyDescent="0.4">
      <c r="A83" s="81" t="s">
        <v>724</v>
      </c>
      <c r="B83" s="20" t="s">
        <v>811</v>
      </c>
      <c r="C83" s="22" t="s">
        <v>291</v>
      </c>
      <c r="E83" s="82"/>
    </row>
    <row r="84" spans="1:5" hidden="1" x14ac:dyDescent="0.4">
      <c r="A84" s="81" t="s">
        <v>725</v>
      </c>
      <c r="B84" s="20" t="s">
        <v>812</v>
      </c>
      <c r="C84" s="22" t="s">
        <v>234</v>
      </c>
      <c r="E84" s="82"/>
    </row>
    <row r="85" spans="1:5" hidden="1" x14ac:dyDescent="0.4">
      <c r="A85" s="81" t="s">
        <v>726</v>
      </c>
      <c r="B85" s="20" t="s">
        <v>813</v>
      </c>
      <c r="C85" s="22" t="s">
        <v>295</v>
      </c>
      <c r="E85" s="82"/>
    </row>
    <row r="86" spans="1:5" hidden="1" x14ac:dyDescent="0.4">
      <c r="A86" s="81" t="s">
        <v>727</v>
      </c>
      <c r="B86" s="20" t="s">
        <v>814</v>
      </c>
      <c r="C86" s="22" t="s">
        <v>292</v>
      </c>
      <c r="E86" s="82"/>
    </row>
    <row r="87" spans="1:5" hidden="1" x14ac:dyDescent="0.4">
      <c r="A87" s="81" t="s">
        <v>728</v>
      </c>
      <c r="B87" s="20" t="s">
        <v>815</v>
      </c>
      <c r="C87" s="22" t="s">
        <v>250</v>
      </c>
      <c r="E87" s="82"/>
    </row>
    <row r="88" spans="1:5" hidden="1" x14ac:dyDescent="0.4">
      <c r="A88" s="81" t="s">
        <v>729</v>
      </c>
      <c r="B88" s="20" t="s">
        <v>816</v>
      </c>
      <c r="C88" s="22" t="s">
        <v>294</v>
      </c>
      <c r="E88" s="82"/>
    </row>
    <row r="89" spans="1:5" hidden="1" x14ac:dyDescent="0.4">
      <c r="A89" s="81" t="s">
        <v>730</v>
      </c>
      <c r="B89" s="20" t="s">
        <v>817</v>
      </c>
      <c r="C89" s="22" t="s">
        <v>288</v>
      </c>
      <c r="E89" s="82"/>
    </row>
    <row r="90" spans="1:5" hidden="1" x14ac:dyDescent="0.4">
      <c r="A90" s="81" t="s">
        <v>731</v>
      </c>
      <c r="B90" s="20" t="s">
        <v>818</v>
      </c>
      <c r="C90" s="22" t="s">
        <v>77</v>
      </c>
      <c r="E90" s="82"/>
    </row>
    <row r="91" spans="1:5" hidden="1" x14ac:dyDescent="0.4">
      <c r="A91" s="81" t="s">
        <v>732</v>
      </c>
      <c r="B91" s="20" t="s">
        <v>819</v>
      </c>
      <c r="C91" s="22" t="s">
        <v>78</v>
      </c>
      <c r="E91" s="82"/>
    </row>
    <row r="92" spans="1:5" hidden="1" x14ac:dyDescent="0.4">
      <c r="A92" s="81" t="s">
        <v>733</v>
      </c>
      <c r="B92" s="20" t="s">
        <v>820</v>
      </c>
      <c r="C92" s="22" t="s">
        <v>80</v>
      </c>
      <c r="E92" s="82"/>
    </row>
    <row r="93" spans="1:5" hidden="1" x14ac:dyDescent="0.4">
      <c r="A93" s="81" t="s">
        <v>734</v>
      </c>
      <c r="B93" s="20" t="s">
        <v>821</v>
      </c>
      <c r="C93" s="22" t="s">
        <v>83</v>
      </c>
      <c r="E93" s="82"/>
    </row>
    <row r="94" spans="1:5" hidden="1" x14ac:dyDescent="0.4">
      <c r="A94" s="81" t="s">
        <v>735</v>
      </c>
      <c r="B94" s="20" t="s">
        <v>822</v>
      </c>
      <c r="C94" s="22" t="s">
        <v>86</v>
      </c>
      <c r="E94" s="82"/>
    </row>
    <row r="95" spans="1:5" hidden="1" x14ac:dyDescent="0.4">
      <c r="A95" s="83" t="s">
        <v>736</v>
      </c>
      <c r="B95" s="23" t="s">
        <v>823</v>
      </c>
      <c r="C95" s="24" t="s">
        <v>232</v>
      </c>
      <c r="D95" s="112"/>
      <c r="E95" s="82"/>
    </row>
    <row r="96" spans="1:5" hidden="1" x14ac:dyDescent="0.4">
      <c r="A96" s="81" t="s">
        <v>737</v>
      </c>
      <c r="B96" s="20" t="s">
        <v>825</v>
      </c>
      <c r="C96" s="22" t="s">
        <v>296</v>
      </c>
      <c r="E96" s="82"/>
    </row>
    <row r="97" spans="1:5" hidden="1" x14ac:dyDescent="0.4">
      <c r="A97" s="81" t="s">
        <v>738</v>
      </c>
      <c r="B97" s="20" t="s">
        <v>826</v>
      </c>
      <c r="C97" s="22" t="s">
        <v>301</v>
      </c>
      <c r="E97" s="82"/>
    </row>
    <row r="98" spans="1:5" hidden="1" x14ac:dyDescent="0.4">
      <c r="A98" s="81" t="s">
        <v>739</v>
      </c>
      <c r="B98" s="20" t="s">
        <v>827</v>
      </c>
      <c r="C98" s="22" t="s">
        <v>308</v>
      </c>
      <c r="E98" s="82"/>
    </row>
    <row r="99" spans="1:5" hidden="1" x14ac:dyDescent="0.4">
      <c r="A99" s="81" t="s">
        <v>740</v>
      </c>
      <c r="B99" s="20" t="s">
        <v>828</v>
      </c>
      <c r="C99" s="22" t="s">
        <v>311</v>
      </c>
      <c r="E99" s="82"/>
    </row>
    <row r="100" spans="1:5" hidden="1" x14ac:dyDescent="0.4">
      <c r="A100" s="81" t="s">
        <v>741</v>
      </c>
      <c r="B100" s="20" t="s">
        <v>829</v>
      </c>
      <c r="C100" s="22" t="s">
        <v>302</v>
      </c>
      <c r="E100" s="82"/>
    </row>
    <row r="101" spans="1:5" hidden="1" x14ac:dyDescent="0.4">
      <c r="A101" s="81" t="s">
        <v>742</v>
      </c>
      <c r="B101" s="20" t="s">
        <v>830</v>
      </c>
      <c r="C101" s="22" t="s">
        <v>306</v>
      </c>
      <c r="E101" s="82"/>
    </row>
    <row r="102" spans="1:5" hidden="1" x14ac:dyDescent="0.4">
      <c r="A102" s="83" t="s">
        <v>743</v>
      </c>
      <c r="B102" s="23" t="s">
        <v>831</v>
      </c>
      <c r="C102" s="24" t="s">
        <v>312</v>
      </c>
      <c r="D102" s="112"/>
      <c r="E102" s="82"/>
    </row>
    <row r="103" spans="1:5" hidden="1" x14ac:dyDescent="0.4">
      <c r="A103" s="81" t="s">
        <v>744</v>
      </c>
      <c r="B103" s="20" t="s">
        <v>833</v>
      </c>
      <c r="C103" s="22" t="s">
        <v>313</v>
      </c>
      <c r="E103" s="82"/>
    </row>
    <row r="104" spans="1:5" hidden="1" x14ac:dyDescent="0.4">
      <c r="A104" s="81" t="s">
        <v>745</v>
      </c>
      <c r="B104" s="20" t="s">
        <v>834</v>
      </c>
      <c r="C104" s="22" t="s">
        <v>316</v>
      </c>
      <c r="E104" s="82"/>
    </row>
    <row r="105" spans="1:5" hidden="1" x14ac:dyDescent="0.4">
      <c r="A105" s="81" t="s">
        <v>746</v>
      </c>
      <c r="B105" s="20" t="s">
        <v>835</v>
      </c>
      <c r="C105" s="22" t="s">
        <v>317</v>
      </c>
      <c r="E105" s="82"/>
    </row>
    <row r="106" spans="1:5" hidden="1" x14ac:dyDescent="0.4">
      <c r="A106" s="81" t="s">
        <v>747</v>
      </c>
      <c r="B106" s="20" t="s">
        <v>836</v>
      </c>
      <c r="C106" s="22" t="s">
        <v>318</v>
      </c>
      <c r="E106" s="82"/>
    </row>
    <row r="107" spans="1:5" hidden="1" x14ac:dyDescent="0.4">
      <c r="A107" s="83" t="s">
        <v>748</v>
      </c>
      <c r="B107" s="23" t="s">
        <v>837</v>
      </c>
      <c r="C107" s="24" t="s">
        <v>319</v>
      </c>
      <c r="D107" s="112"/>
      <c r="E107" s="82"/>
    </row>
    <row r="108" spans="1:5" hidden="1" x14ac:dyDescent="0.4">
      <c r="A108" s="81" t="s">
        <v>1528</v>
      </c>
      <c r="B108" s="20" t="s">
        <v>850</v>
      </c>
      <c r="C108" s="22" t="s">
        <v>320</v>
      </c>
      <c r="E108" s="82"/>
    </row>
    <row r="109" spans="1:5" hidden="1" x14ac:dyDescent="0.4">
      <c r="A109" s="21" t="s">
        <v>1527</v>
      </c>
      <c r="B109" s="20" t="s">
        <v>851</v>
      </c>
      <c r="C109" s="22" t="s">
        <v>324</v>
      </c>
      <c r="E109" s="82"/>
    </row>
    <row r="110" spans="1:5" hidden="1" x14ac:dyDescent="0.4">
      <c r="A110" s="81" t="s">
        <v>1527</v>
      </c>
      <c r="B110" s="20" t="s">
        <v>852</v>
      </c>
      <c r="C110" s="22" t="s">
        <v>360</v>
      </c>
      <c r="E110" s="82"/>
    </row>
    <row r="111" spans="1:5" hidden="1" x14ac:dyDescent="0.4">
      <c r="A111" s="81" t="s">
        <v>1527</v>
      </c>
      <c r="B111" s="20" t="s">
        <v>853</v>
      </c>
      <c r="C111" s="22" t="s">
        <v>871</v>
      </c>
      <c r="E111" s="82"/>
    </row>
    <row r="112" spans="1:5" hidden="1" x14ac:dyDescent="0.4">
      <c r="A112" s="81" t="s">
        <v>1527</v>
      </c>
      <c r="B112" s="20" t="s">
        <v>854</v>
      </c>
      <c r="C112" s="22" t="s">
        <v>365</v>
      </c>
      <c r="E112" s="82"/>
    </row>
    <row r="113" spans="1:5" hidden="1" x14ac:dyDescent="0.4">
      <c r="A113" s="81" t="s">
        <v>1527</v>
      </c>
      <c r="B113" s="20" t="s">
        <v>855</v>
      </c>
      <c r="C113" s="22" t="s">
        <v>368</v>
      </c>
      <c r="E113" s="82"/>
    </row>
    <row r="114" spans="1:5" hidden="1" x14ac:dyDescent="0.4">
      <c r="A114" s="81" t="s">
        <v>1527</v>
      </c>
      <c r="B114" s="20" t="s">
        <v>856</v>
      </c>
      <c r="C114" s="22" t="s">
        <v>839</v>
      </c>
      <c r="E114" s="82"/>
    </row>
    <row r="115" spans="1:5" hidden="1" x14ac:dyDescent="0.4">
      <c r="A115" s="81" t="s">
        <v>1527</v>
      </c>
      <c r="B115" s="20" t="s">
        <v>857</v>
      </c>
      <c r="C115" s="22" t="s">
        <v>381</v>
      </c>
      <c r="E115" s="82"/>
    </row>
    <row r="116" spans="1:5" hidden="1" x14ac:dyDescent="0.4">
      <c r="A116" s="81" t="s">
        <v>1527</v>
      </c>
      <c r="B116" s="20" t="s">
        <v>858</v>
      </c>
      <c r="C116" s="22" t="s">
        <v>844</v>
      </c>
      <c r="E116" s="82"/>
    </row>
    <row r="117" spans="1:5" hidden="1" x14ac:dyDescent="0.4">
      <c r="A117" s="81" t="s">
        <v>1527</v>
      </c>
      <c r="B117" s="20" t="s">
        <v>859</v>
      </c>
      <c r="C117" s="22" t="s">
        <v>846</v>
      </c>
      <c r="E117" s="82"/>
    </row>
    <row r="118" spans="1:5" hidden="1" x14ac:dyDescent="0.4">
      <c r="A118" s="81" t="s">
        <v>1527</v>
      </c>
      <c r="B118" s="20" t="s">
        <v>860</v>
      </c>
      <c r="C118" s="22" t="s">
        <v>848</v>
      </c>
      <c r="E118" s="82"/>
    </row>
    <row r="119" spans="1:5" hidden="1" x14ac:dyDescent="0.4">
      <c r="A119" s="81" t="s">
        <v>1527</v>
      </c>
      <c r="B119" s="20" t="s">
        <v>861</v>
      </c>
      <c r="C119" s="22" t="s">
        <v>376</v>
      </c>
      <c r="E119" s="82"/>
    </row>
    <row r="120" spans="1:5" hidden="1" x14ac:dyDescent="0.4">
      <c r="A120" s="81" t="s">
        <v>1527</v>
      </c>
      <c r="B120" s="20" t="s">
        <v>862</v>
      </c>
      <c r="C120" s="22" t="s">
        <v>840</v>
      </c>
      <c r="E120" s="82"/>
    </row>
    <row r="121" spans="1:5" hidden="1" x14ac:dyDescent="0.4">
      <c r="A121" s="81" t="s">
        <v>1527</v>
      </c>
      <c r="B121" s="20" t="s">
        <v>863</v>
      </c>
      <c r="C121" s="22" t="s">
        <v>841</v>
      </c>
      <c r="E121" s="82"/>
    </row>
    <row r="122" spans="1:5" hidden="1" x14ac:dyDescent="0.4">
      <c r="A122" s="81" t="s">
        <v>1527</v>
      </c>
      <c r="B122" s="20" t="s">
        <v>864</v>
      </c>
      <c r="C122" s="22" t="s">
        <v>345</v>
      </c>
      <c r="E122" s="82"/>
    </row>
    <row r="123" spans="1:5" hidden="1" x14ac:dyDescent="0.4">
      <c r="A123" s="81" t="s">
        <v>1527</v>
      </c>
      <c r="B123" s="20" t="s">
        <v>865</v>
      </c>
      <c r="C123" s="22" t="s">
        <v>351</v>
      </c>
      <c r="E123" s="82"/>
    </row>
    <row r="124" spans="1:5" hidden="1" x14ac:dyDescent="0.4">
      <c r="A124" s="81" t="s">
        <v>1527</v>
      </c>
      <c r="B124" s="20" t="s">
        <v>866</v>
      </c>
      <c r="C124" s="22" t="s">
        <v>842</v>
      </c>
      <c r="E124" s="82"/>
    </row>
    <row r="125" spans="1:5" hidden="1" x14ac:dyDescent="0.4">
      <c r="A125" s="81" t="s">
        <v>1527</v>
      </c>
      <c r="B125" s="20" t="s">
        <v>867</v>
      </c>
      <c r="C125" s="22" t="s">
        <v>352</v>
      </c>
      <c r="E125" s="82"/>
    </row>
    <row r="126" spans="1:5" hidden="1" x14ac:dyDescent="0.4">
      <c r="A126" s="81" t="s">
        <v>1527</v>
      </c>
      <c r="B126" s="20" t="s">
        <v>868</v>
      </c>
      <c r="C126" s="22" t="s">
        <v>353</v>
      </c>
      <c r="E126" s="82"/>
    </row>
    <row r="127" spans="1:5" hidden="1" x14ac:dyDescent="0.4">
      <c r="A127" s="83" t="s">
        <v>1527</v>
      </c>
      <c r="B127" s="23" t="s">
        <v>869</v>
      </c>
      <c r="C127" s="24" t="s">
        <v>356</v>
      </c>
      <c r="D127" s="112"/>
      <c r="E127" s="82"/>
    </row>
    <row r="128" spans="1:5" hidden="1" x14ac:dyDescent="0.4">
      <c r="A128" s="81" t="s">
        <v>1527</v>
      </c>
      <c r="B128" s="20" t="s">
        <v>872</v>
      </c>
      <c r="C128" s="22" t="s">
        <v>386</v>
      </c>
      <c r="E128" s="82"/>
    </row>
    <row r="129" spans="1:5" hidden="1" x14ac:dyDescent="0.4">
      <c r="A129" s="81" t="s">
        <v>1527</v>
      </c>
      <c r="B129" s="20" t="s">
        <v>873</v>
      </c>
      <c r="C129" s="22" t="s">
        <v>387</v>
      </c>
      <c r="E129" s="82"/>
    </row>
    <row r="130" spans="1:5" hidden="1" x14ac:dyDescent="0.4">
      <c r="A130" s="81" t="s">
        <v>1527</v>
      </c>
      <c r="B130" s="20" t="s">
        <v>874</v>
      </c>
      <c r="C130" s="22" t="s">
        <v>388</v>
      </c>
      <c r="E130" s="82"/>
    </row>
    <row r="131" spans="1:5" hidden="1" x14ac:dyDescent="0.4">
      <c r="A131" s="81" t="s">
        <v>1527</v>
      </c>
      <c r="B131" s="20" t="s">
        <v>875</v>
      </c>
      <c r="C131" s="22" t="s">
        <v>389</v>
      </c>
      <c r="E131" s="82"/>
    </row>
    <row r="132" spans="1:5" hidden="1" x14ac:dyDescent="0.4">
      <c r="A132" s="81" t="s">
        <v>1527</v>
      </c>
      <c r="B132" s="20" t="s">
        <v>876</v>
      </c>
      <c r="C132" s="22" t="s">
        <v>390</v>
      </c>
      <c r="E132" s="82"/>
    </row>
    <row r="133" spans="1:5" hidden="1" x14ac:dyDescent="0.4">
      <c r="A133" s="81" t="s">
        <v>1527</v>
      </c>
      <c r="B133" s="20" t="s">
        <v>877</v>
      </c>
      <c r="C133" s="22" t="s">
        <v>391</v>
      </c>
      <c r="E133" s="82"/>
    </row>
    <row r="134" spans="1:5" hidden="1" x14ac:dyDescent="0.4">
      <c r="A134" s="81" t="s">
        <v>1527</v>
      </c>
      <c r="B134" s="20" t="s">
        <v>878</v>
      </c>
      <c r="C134" s="22" t="s">
        <v>392</v>
      </c>
      <c r="E134" s="82"/>
    </row>
    <row r="135" spans="1:5" hidden="1" x14ac:dyDescent="0.4">
      <c r="A135" s="81" t="s">
        <v>1527</v>
      </c>
      <c r="B135" s="20" t="s">
        <v>879</v>
      </c>
      <c r="C135" s="22" t="s">
        <v>393</v>
      </c>
      <c r="E135" s="82"/>
    </row>
    <row r="136" spans="1:5" hidden="1" x14ac:dyDescent="0.4">
      <c r="A136" s="83" t="s">
        <v>1527</v>
      </c>
      <c r="B136" s="23" t="s">
        <v>880</v>
      </c>
      <c r="C136" s="24" t="s">
        <v>394</v>
      </c>
      <c r="D136" s="112"/>
      <c r="E136" s="82"/>
    </row>
    <row r="137" spans="1:5" hidden="1" x14ac:dyDescent="0.4">
      <c r="A137" s="81" t="s">
        <v>1527</v>
      </c>
      <c r="B137" s="20" t="s">
        <v>881</v>
      </c>
      <c r="C137" s="22" t="s">
        <v>395</v>
      </c>
      <c r="E137" s="82"/>
    </row>
    <row r="138" spans="1:5" hidden="1" x14ac:dyDescent="0.4">
      <c r="A138" s="81" t="s">
        <v>1527</v>
      </c>
      <c r="B138" s="20" t="s">
        <v>882</v>
      </c>
      <c r="C138" s="22" t="s">
        <v>396</v>
      </c>
      <c r="E138" s="82"/>
    </row>
    <row r="139" spans="1:5" hidden="1" x14ac:dyDescent="0.4">
      <c r="A139" s="81" t="s">
        <v>1527</v>
      </c>
      <c r="B139" s="20" t="s">
        <v>883</v>
      </c>
      <c r="C139" s="22" t="s">
        <v>397</v>
      </c>
      <c r="E139" s="82"/>
    </row>
    <row r="140" spans="1:5" hidden="1" x14ac:dyDescent="0.4">
      <c r="A140" s="81" t="s">
        <v>1527</v>
      </c>
      <c r="B140" s="20" t="s">
        <v>884</v>
      </c>
      <c r="C140" s="22" t="s">
        <v>398</v>
      </c>
      <c r="E140" s="82"/>
    </row>
    <row r="141" spans="1:5" hidden="1" x14ac:dyDescent="0.4">
      <c r="A141" s="81" t="s">
        <v>1527</v>
      </c>
      <c r="B141" s="20" t="s">
        <v>885</v>
      </c>
      <c r="C141" s="22" t="s">
        <v>399</v>
      </c>
      <c r="E141" s="82"/>
    </row>
    <row r="142" spans="1:5" hidden="1" x14ac:dyDescent="0.4">
      <c r="A142" s="81" t="s">
        <v>1527</v>
      </c>
      <c r="B142" s="20" t="s">
        <v>886</v>
      </c>
      <c r="C142" s="22" t="s">
        <v>441</v>
      </c>
      <c r="E142" s="82"/>
    </row>
    <row r="143" spans="1:5" hidden="1" x14ac:dyDescent="0.4">
      <c r="A143" s="81" t="s">
        <v>1527</v>
      </c>
      <c r="B143" s="20" t="s">
        <v>887</v>
      </c>
      <c r="C143" s="22" t="s">
        <v>437</v>
      </c>
      <c r="E143" s="82"/>
    </row>
    <row r="144" spans="1:5" hidden="1" x14ac:dyDescent="0.4">
      <c r="A144" s="81" t="s">
        <v>1527</v>
      </c>
      <c r="B144" s="20" t="s">
        <v>888</v>
      </c>
      <c r="C144" s="22" t="s">
        <v>438</v>
      </c>
      <c r="E144" s="82"/>
    </row>
    <row r="145" spans="1:5" hidden="1" x14ac:dyDescent="0.4">
      <c r="A145" s="81" t="s">
        <v>1527</v>
      </c>
      <c r="B145" s="20" t="s">
        <v>889</v>
      </c>
      <c r="C145" s="22" t="s">
        <v>439</v>
      </c>
      <c r="E145" s="82"/>
    </row>
    <row r="146" spans="1:5" hidden="1" x14ac:dyDescent="0.4">
      <c r="A146" s="81" t="s">
        <v>1527</v>
      </c>
      <c r="B146" s="20" t="s">
        <v>890</v>
      </c>
      <c r="C146" s="22" t="s">
        <v>440</v>
      </c>
      <c r="E146" s="82"/>
    </row>
    <row r="147" spans="1:5" hidden="1" x14ac:dyDescent="0.4">
      <c r="A147" s="81" t="s">
        <v>1527</v>
      </c>
      <c r="B147" s="20" t="s">
        <v>891</v>
      </c>
      <c r="C147" s="22" t="s">
        <v>442</v>
      </c>
      <c r="E147" s="82"/>
    </row>
    <row r="148" spans="1:5" hidden="1" x14ac:dyDescent="0.4">
      <c r="A148" s="81" t="s">
        <v>1527</v>
      </c>
      <c r="B148" s="20" t="s">
        <v>892</v>
      </c>
      <c r="C148" s="22" t="s">
        <v>443</v>
      </c>
      <c r="E148" s="82"/>
    </row>
    <row r="149" spans="1:5" hidden="1" x14ac:dyDescent="0.4">
      <c r="A149" s="81" t="s">
        <v>1527</v>
      </c>
      <c r="B149" s="20" t="s">
        <v>893</v>
      </c>
      <c r="C149" s="22" t="s">
        <v>444</v>
      </c>
      <c r="E149" s="82"/>
    </row>
    <row r="150" spans="1:5" hidden="1" x14ac:dyDescent="0.4">
      <c r="A150" s="81" t="s">
        <v>1527</v>
      </c>
      <c r="B150" s="20" t="s">
        <v>894</v>
      </c>
      <c r="C150" s="22" t="s">
        <v>445</v>
      </c>
      <c r="E150" s="82"/>
    </row>
    <row r="151" spans="1:5" hidden="1" x14ac:dyDescent="0.4">
      <c r="A151" s="81" t="s">
        <v>1527</v>
      </c>
      <c r="B151" s="20" t="s">
        <v>895</v>
      </c>
      <c r="C151" s="22" t="s">
        <v>446</v>
      </c>
      <c r="E151" s="82"/>
    </row>
    <row r="152" spans="1:5" hidden="1" x14ac:dyDescent="0.4">
      <c r="A152" s="81" t="s">
        <v>1527</v>
      </c>
      <c r="B152" s="20" t="s">
        <v>896</v>
      </c>
      <c r="C152" s="22" t="s">
        <v>447</v>
      </c>
      <c r="E152" s="82"/>
    </row>
    <row r="153" spans="1:5" hidden="1" x14ac:dyDescent="0.4">
      <c r="A153" s="81" t="s">
        <v>1527</v>
      </c>
      <c r="B153" s="20" t="s">
        <v>897</v>
      </c>
      <c r="C153" s="22" t="s">
        <v>448</v>
      </c>
      <c r="E153" s="82"/>
    </row>
    <row r="154" spans="1:5" hidden="1" x14ac:dyDescent="0.4">
      <c r="A154" s="81" t="s">
        <v>1527</v>
      </c>
      <c r="B154" s="20" t="s">
        <v>898</v>
      </c>
      <c r="C154" s="22" t="s">
        <v>449</v>
      </c>
      <c r="E154" s="82"/>
    </row>
    <row r="155" spans="1:5" hidden="1" x14ac:dyDescent="0.4">
      <c r="A155" s="81" t="s">
        <v>1527</v>
      </c>
      <c r="B155" s="20" t="s">
        <v>899</v>
      </c>
      <c r="C155" s="22" t="s">
        <v>450</v>
      </c>
      <c r="E155" s="82"/>
    </row>
    <row r="156" spans="1:5" hidden="1" x14ac:dyDescent="0.4">
      <c r="A156" s="83" t="s">
        <v>1527</v>
      </c>
      <c r="B156" s="23" t="s">
        <v>900</v>
      </c>
      <c r="C156" s="24" t="s">
        <v>451</v>
      </c>
      <c r="D156" s="112"/>
      <c r="E156" s="82"/>
    </row>
    <row r="157" spans="1:5" hidden="1" x14ac:dyDescent="0.4">
      <c r="A157" s="81" t="s">
        <v>1527</v>
      </c>
      <c r="B157" s="20" t="s">
        <v>904</v>
      </c>
      <c r="C157" s="22" t="s">
        <v>452</v>
      </c>
      <c r="E157" s="82"/>
    </row>
    <row r="158" spans="1:5" hidden="1" x14ac:dyDescent="0.4">
      <c r="A158" s="81" t="s">
        <v>1527</v>
      </c>
      <c r="B158" s="20" t="s">
        <v>905</v>
      </c>
      <c r="C158" s="22" t="s">
        <v>454</v>
      </c>
      <c r="E158" s="82"/>
    </row>
    <row r="159" spans="1:5" hidden="1" x14ac:dyDescent="0.4">
      <c r="A159" s="81" t="s">
        <v>1527</v>
      </c>
      <c r="B159" s="20" t="s">
        <v>906</v>
      </c>
      <c r="C159" s="22" t="s">
        <v>463</v>
      </c>
      <c r="E159" s="82"/>
    </row>
    <row r="160" spans="1:5" hidden="1" x14ac:dyDescent="0.4">
      <c r="A160" s="81" t="s">
        <v>1527</v>
      </c>
      <c r="B160" s="20" t="s">
        <v>907</v>
      </c>
      <c r="C160" s="22" t="s">
        <v>901</v>
      </c>
      <c r="E160" s="82"/>
    </row>
    <row r="161" spans="1:5" hidden="1" x14ac:dyDescent="0.4">
      <c r="A161" s="81" t="s">
        <v>1527</v>
      </c>
      <c r="B161" s="20" t="s">
        <v>908</v>
      </c>
      <c r="C161" s="22" t="s">
        <v>467</v>
      </c>
      <c r="E161" s="82"/>
    </row>
    <row r="162" spans="1:5" hidden="1" x14ac:dyDescent="0.4">
      <c r="A162" s="81" t="s">
        <v>1527</v>
      </c>
      <c r="B162" s="20" t="s">
        <v>909</v>
      </c>
      <c r="C162" s="22" t="s">
        <v>456</v>
      </c>
      <c r="E162" s="82"/>
    </row>
    <row r="163" spans="1:5" hidden="1" x14ac:dyDescent="0.4">
      <c r="A163" s="81" t="s">
        <v>1527</v>
      </c>
      <c r="B163" s="20" t="s">
        <v>910</v>
      </c>
      <c r="C163" s="22" t="s">
        <v>470</v>
      </c>
      <c r="E163" s="82"/>
    </row>
    <row r="164" spans="1:5" hidden="1" x14ac:dyDescent="0.4">
      <c r="A164" s="81" t="s">
        <v>1527</v>
      </c>
      <c r="B164" s="20" t="s">
        <v>911</v>
      </c>
      <c r="C164" s="22" t="s">
        <v>475</v>
      </c>
      <c r="E164" s="82"/>
    </row>
    <row r="165" spans="1:5" hidden="1" x14ac:dyDescent="0.4">
      <c r="A165" s="81" t="s">
        <v>1527</v>
      </c>
      <c r="B165" s="20" t="s">
        <v>912</v>
      </c>
      <c r="C165" s="22" t="s">
        <v>469</v>
      </c>
      <c r="E165" s="82"/>
    </row>
    <row r="166" spans="1:5" hidden="1" x14ac:dyDescent="0.4">
      <c r="A166" s="81" t="s">
        <v>1527</v>
      </c>
      <c r="B166" s="20" t="s">
        <v>913</v>
      </c>
      <c r="C166" s="22" t="s">
        <v>471</v>
      </c>
      <c r="E166" s="82"/>
    </row>
    <row r="167" spans="1:5" hidden="1" x14ac:dyDescent="0.4">
      <c r="A167" s="81" t="s">
        <v>1527</v>
      </c>
      <c r="B167" s="20" t="s">
        <v>914</v>
      </c>
      <c r="C167" s="22" t="s">
        <v>472</v>
      </c>
      <c r="E167" s="82"/>
    </row>
    <row r="168" spans="1:5" hidden="1" x14ac:dyDescent="0.4">
      <c r="A168" s="81" t="s">
        <v>1527</v>
      </c>
      <c r="B168" s="20" t="s">
        <v>915</v>
      </c>
      <c r="C168" s="22" t="s">
        <v>473</v>
      </c>
      <c r="E168" s="82"/>
    </row>
    <row r="169" spans="1:5" hidden="1" x14ac:dyDescent="0.4">
      <c r="A169" s="81" t="s">
        <v>1527</v>
      </c>
      <c r="B169" s="20" t="s">
        <v>916</v>
      </c>
      <c r="C169" s="22" t="s">
        <v>474</v>
      </c>
      <c r="E169" s="82"/>
    </row>
    <row r="170" spans="1:5" hidden="1" x14ac:dyDescent="0.4">
      <c r="A170" s="81" t="s">
        <v>1527</v>
      </c>
      <c r="B170" s="20" t="s">
        <v>917</v>
      </c>
      <c r="C170" s="22" t="s">
        <v>476</v>
      </c>
      <c r="E170" s="82"/>
    </row>
    <row r="171" spans="1:5" hidden="1" x14ac:dyDescent="0.4">
      <c r="A171" s="81" t="s">
        <v>1527</v>
      </c>
      <c r="B171" s="20" t="s">
        <v>918</v>
      </c>
      <c r="C171" s="22" t="s">
        <v>477</v>
      </c>
      <c r="E171" s="82"/>
    </row>
    <row r="172" spans="1:5" hidden="1" x14ac:dyDescent="0.4">
      <c r="A172" s="81" t="s">
        <v>1527</v>
      </c>
      <c r="B172" s="20" t="s">
        <v>919</v>
      </c>
      <c r="C172" s="22" t="s">
        <v>902</v>
      </c>
      <c r="E172" s="82"/>
    </row>
    <row r="173" spans="1:5" hidden="1" x14ac:dyDescent="0.4">
      <c r="A173" s="81" t="s">
        <v>1527</v>
      </c>
      <c r="B173" s="20" t="s">
        <v>920</v>
      </c>
      <c r="C173" s="22" t="s">
        <v>903</v>
      </c>
      <c r="E173" s="82"/>
    </row>
    <row r="174" spans="1:5" hidden="1" x14ac:dyDescent="0.4">
      <c r="A174" s="81" t="s">
        <v>1527</v>
      </c>
      <c r="B174" s="20" t="s">
        <v>921</v>
      </c>
      <c r="C174" s="22" t="s">
        <v>479</v>
      </c>
      <c r="E174" s="82"/>
    </row>
    <row r="175" spans="1:5" hidden="1" x14ac:dyDescent="0.4">
      <c r="A175" s="81" t="s">
        <v>1527</v>
      </c>
      <c r="B175" s="20" t="s">
        <v>922</v>
      </c>
      <c r="C175" s="22" t="s">
        <v>480</v>
      </c>
      <c r="E175" s="82"/>
    </row>
    <row r="176" spans="1:5" hidden="1" x14ac:dyDescent="0.4">
      <c r="A176" s="81" t="s">
        <v>1527</v>
      </c>
      <c r="B176" s="20" t="s">
        <v>923</v>
      </c>
      <c r="C176" s="22" t="s">
        <v>481</v>
      </c>
      <c r="E176" s="82"/>
    </row>
    <row r="177" spans="1:5" hidden="1" x14ac:dyDescent="0.4">
      <c r="A177" s="81" t="s">
        <v>1527</v>
      </c>
      <c r="B177" s="20" t="s">
        <v>924</v>
      </c>
      <c r="C177" s="22" t="s">
        <v>482</v>
      </c>
      <c r="E177" s="82"/>
    </row>
    <row r="178" spans="1:5" hidden="1" x14ac:dyDescent="0.4">
      <c r="A178" s="81" t="s">
        <v>1527</v>
      </c>
      <c r="B178" s="20" t="s">
        <v>925</v>
      </c>
      <c r="C178" s="22" t="s">
        <v>483</v>
      </c>
      <c r="E178" s="82"/>
    </row>
    <row r="179" spans="1:5" hidden="1" x14ac:dyDescent="0.4">
      <c r="A179" s="81" t="s">
        <v>1527</v>
      </c>
      <c r="B179" s="20" t="s">
        <v>926</v>
      </c>
      <c r="C179" s="22" t="s">
        <v>484</v>
      </c>
      <c r="E179" s="82"/>
    </row>
    <row r="180" spans="1:5" hidden="1" x14ac:dyDescent="0.4">
      <c r="A180" s="81" t="s">
        <v>1527</v>
      </c>
      <c r="B180" s="20" t="s">
        <v>927</v>
      </c>
      <c r="C180" s="22" t="s">
        <v>485</v>
      </c>
      <c r="E180" s="82"/>
    </row>
    <row r="181" spans="1:5" hidden="1" x14ac:dyDescent="0.4">
      <c r="A181" s="81" t="s">
        <v>1527</v>
      </c>
      <c r="B181" s="20" t="s">
        <v>928</v>
      </c>
      <c r="C181" s="22" t="s">
        <v>486</v>
      </c>
      <c r="E181" s="82"/>
    </row>
    <row r="182" spans="1:5" hidden="1" x14ac:dyDescent="0.4">
      <c r="A182" s="81" t="s">
        <v>1527</v>
      </c>
      <c r="B182" s="20" t="s">
        <v>929</v>
      </c>
      <c r="C182" s="22" t="s">
        <v>487</v>
      </c>
      <c r="E182" s="82"/>
    </row>
    <row r="183" spans="1:5" hidden="1" x14ac:dyDescent="0.4">
      <c r="A183" s="81" t="s">
        <v>1527</v>
      </c>
      <c r="B183" s="20" t="s">
        <v>930</v>
      </c>
      <c r="C183" s="22" t="s">
        <v>488</v>
      </c>
      <c r="E183" s="82"/>
    </row>
    <row r="184" spans="1:5" hidden="1" x14ac:dyDescent="0.4">
      <c r="A184" s="81" t="s">
        <v>1527</v>
      </c>
      <c r="B184" s="20" t="s">
        <v>931</v>
      </c>
      <c r="C184" s="22" t="s">
        <v>489</v>
      </c>
      <c r="E184" s="82"/>
    </row>
    <row r="185" spans="1:5" hidden="1" x14ac:dyDescent="0.4">
      <c r="A185" s="81" t="s">
        <v>1527</v>
      </c>
      <c r="B185" s="20" t="s">
        <v>932</v>
      </c>
      <c r="C185" s="22" t="s">
        <v>490</v>
      </c>
      <c r="E185" s="82"/>
    </row>
    <row r="186" spans="1:5" hidden="1" x14ac:dyDescent="0.4">
      <c r="A186" s="81" t="s">
        <v>1527</v>
      </c>
      <c r="B186" s="20" t="s">
        <v>933</v>
      </c>
      <c r="C186" s="22" t="s">
        <v>491</v>
      </c>
      <c r="E186" s="82"/>
    </row>
    <row r="187" spans="1:5" hidden="1" x14ac:dyDescent="0.4">
      <c r="A187" s="81" t="s">
        <v>1527</v>
      </c>
      <c r="B187" s="20" t="s">
        <v>934</v>
      </c>
      <c r="C187" s="22" t="s">
        <v>494</v>
      </c>
      <c r="E187" s="82"/>
    </row>
    <row r="188" spans="1:5" hidden="1" x14ac:dyDescent="0.4">
      <c r="A188" s="81" t="s">
        <v>1527</v>
      </c>
      <c r="B188" s="20" t="s">
        <v>935</v>
      </c>
      <c r="C188" s="22" t="s">
        <v>495</v>
      </c>
      <c r="E188" s="82"/>
    </row>
    <row r="189" spans="1:5" hidden="1" x14ac:dyDescent="0.4">
      <c r="A189" s="81" t="s">
        <v>1527</v>
      </c>
      <c r="B189" s="20" t="s">
        <v>936</v>
      </c>
      <c r="C189" s="22" t="s">
        <v>501</v>
      </c>
      <c r="E189" s="82"/>
    </row>
    <row r="190" spans="1:5" hidden="1" x14ac:dyDescent="0.4">
      <c r="A190" s="81" t="s">
        <v>1527</v>
      </c>
      <c r="B190" s="20" t="s">
        <v>937</v>
      </c>
      <c r="C190" s="22" t="s">
        <v>502</v>
      </c>
      <c r="E190" s="82"/>
    </row>
    <row r="191" spans="1:5" hidden="1" x14ac:dyDescent="0.4">
      <c r="A191" s="81" t="s">
        <v>1527</v>
      </c>
      <c r="B191" s="20" t="s">
        <v>938</v>
      </c>
      <c r="C191" s="22" t="s">
        <v>497</v>
      </c>
      <c r="E191" s="82"/>
    </row>
    <row r="192" spans="1:5" hidden="1" x14ac:dyDescent="0.4">
      <c r="A192" s="81" t="s">
        <v>1527</v>
      </c>
      <c r="B192" s="20" t="s">
        <v>939</v>
      </c>
      <c r="C192" s="22" t="s">
        <v>500</v>
      </c>
      <c r="E192" s="82"/>
    </row>
    <row r="193" spans="1:5" hidden="1" x14ac:dyDescent="0.4">
      <c r="A193" s="81" t="s">
        <v>1527</v>
      </c>
      <c r="B193" s="20" t="s">
        <v>940</v>
      </c>
      <c r="C193" s="22" t="s">
        <v>720</v>
      </c>
      <c r="E193" s="82"/>
    </row>
    <row r="194" spans="1:5" hidden="1" x14ac:dyDescent="0.4">
      <c r="A194" s="81" t="s">
        <v>1527</v>
      </c>
      <c r="B194" s="20" t="s">
        <v>941</v>
      </c>
      <c r="C194" s="22" t="s">
        <v>507</v>
      </c>
      <c r="E194" s="82"/>
    </row>
    <row r="195" spans="1:5" hidden="1" x14ac:dyDescent="0.4">
      <c r="A195" s="81" t="s">
        <v>1527</v>
      </c>
      <c r="B195" s="20" t="s">
        <v>942</v>
      </c>
      <c r="C195" s="22" t="s">
        <v>509</v>
      </c>
      <c r="E195" s="82"/>
    </row>
    <row r="196" spans="1:5" hidden="1" x14ac:dyDescent="0.4">
      <c r="A196" s="81" t="s">
        <v>1527</v>
      </c>
      <c r="B196" s="20" t="s">
        <v>943</v>
      </c>
      <c r="C196" s="22" t="s">
        <v>511</v>
      </c>
      <c r="E196" s="82"/>
    </row>
    <row r="197" spans="1:5" hidden="1" x14ac:dyDescent="0.4">
      <c r="A197" s="81" t="s">
        <v>1527</v>
      </c>
      <c r="B197" s="20" t="s">
        <v>944</v>
      </c>
      <c r="C197" s="22" t="s">
        <v>513</v>
      </c>
      <c r="E197" s="82"/>
    </row>
    <row r="198" spans="1:5" hidden="1" x14ac:dyDescent="0.4">
      <c r="A198" s="81" t="s">
        <v>1527</v>
      </c>
      <c r="B198" s="20" t="s">
        <v>945</v>
      </c>
      <c r="C198" s="22" t="s">
        <v>959</v>
      </c>
      <c r="E198" s="82"/>
    </row>
    <row r="199" spans="1:5" hidden="1" x14ac:dyDescent="0.4">
      <c r="A199" s="81" t="s">
        <v>1527</v>
      </c>
      <c r="B199" s="20" t="s">
        <v>946</v>
      </c>
      <c r="C199" s="22" t="s">
        <v>516</v>
      </c>
      <c r="E199" s="82"/>
    </row>
    <row r="200" spans="1:5" hidden="1" x14ac:dyDescent="0.4">
      <c r="A200" s="81" t="s">
        <v>1527</v>
      </c>
      <c r="B200" s="20" t="s">
        <v>947</v>
      </c>
      <c r="C200" s="22" t="s">
        <v>518</v>
      </c>
      <c r="E200" s="82"/>
    </row>
    <row r="201" spans="1:5" hidden="1" x14ac:dyDescent="0.4">
      <c r="A201" s="81" t="s">
        <v>1527</v>
      </c>
      <c r="B201" s="20" t="s">
        <v>948</v>
      </c>
      <c r="C201" s="22" t="s">
        <v>520</v>
      </c>
      <c r="E201" s="82"/>
    </row>
    <row r="202" spans="1:5" hidden="1" x14ac:dyDescent="0.4">
      <c r="A202" s="81" t="s">
        <v>1527</v>
      </c>
      <c r="B202" s="20" t="s">
        <v>949</v>
      </c>
      <c r="C202" s="22" t="s">
        <v>522</v>
      </c>
      <c r="E202" s="82"/>
    </row>
    <row r="203" spans="1:5" hidden="1" x14ac:dyDescent="0.4">
      <c r="A203" s="81" t="s">
        <v>1527</v>
      </c>
      <c r="B203" s="20" t="s">
        <v>950</v>
      </c>
      <c r="C203" s="22" t="s">
        <v>524</v>
      </c>
      <c r="E203" s="82"/>
    </row>
    <row r="204" spans="1:5" hidden="1" x14ac:dyDescent="0.4">
      <c r="A204" s="81" t="s">
        <v>1527</v>
      </c>
      <c r="B204" s="20" t="s">
        <v>951</v>
      </c>
      <c r="C204" s="22" t="s">
        <v>526</v>
      </c>
      <c r="E204" s="82"/>
    </row>
    <row r="205" spans="1:5" hidden="1" x14ac:dyDescent="0.4">
      <c r="A205" s="81" t="s">
        <v>1527</v>
      </c>
      <c r="B205" s="20" t="s">
        <v>952</v>
      </c>
      <c r="C205" s="22" t="s">
        <v>528</v>
      </c>
      <c r="E205" s="82"/>
    </row>
    <row r="206" spans="1:5" hidden="1" x14ac:dyDescent="0.4">
      <c r="A206" s="81" t="s">
        <v>1527</v>
      </c>
      <c r="B206" s="20" t="s">
        <v>953</v>
      </c>
      <c r="C206" s="22" t="s">
        <v>530</v>
      </c>
      <c r="E206" s="82"/>
    </row>
    <row r="207" spans="1:5" hidden="1" x14ac:dyDescent="0.4">
      <c r="A207" s="81" t="s">
        <v>1527</v>
      </c>
      <c r="B207" s="20" t="s">
        <v>954</v>
      </c>
      <c r="C207" s="22" t="s">
        <v>532</v>
      </c>
      <c r="E207" s="82"/>
    </row>
    <row r="208" spans="1:5" hidden="1" x14ac:dyDescent="0.4">
      <c r="A208" s="81" t="s">
        <v>1527</v>
      </c>
      <c r="B208" s="20" t="s">
        <v>955</v>
      </c>
      <c r="C208" s="22" t="s">
        <v>534</v>
      </c>
      <c r="E208" s="82"/>
    </row>
    <row r="209" spans="1:5" hidden="1" x14ac:dyDescent="0.4">
      <c r="A209" s="81" t="s">
        <v>1527</v>
      </c>
      <c r="B209" s="20" t="s">
        <v>956</v>
      </c>
      <c r="C209" s="22" t="s">
        <v>536</v>
      </c>
      <c r="E209" s="82"/>
    </row>
    <row r="210" spans="1:5" hidden="1" x14ac:dyDescent="0.4">
      <c r="A210" s="81" t="s">
        <v>1527</v>
      </c>
      <c r="B210" s="20" t="s">
        <v>957</v>
      </c>
      <c r="C210" s="22" t="s">
        <v>538</v>
      </c>
      <c r="E210" s="82"/>
    </row>
    <row r="211" spans="1:5" hidden="1" x14ac:dyDescent="0.4">
      <c r="A211" s="83" t="s">
        <v>1527</v>
      </c>
      <c r="B211" s="23" t="s">
        <v>958</v>
      </c>
      <c r="C211" s="24" t="s">
        <v>540</v>
      </c>
      <c r="D211" s="112"/>
      <c r="E211" s="82"/>
    </row>
    <row r="212" spans="1:5" hidden="1" x14ac:dyDescent="0.4">
      <c r="A212" s="81" t="s">
        <v>1527</v>
      </c>
      <c r="B212" s="20" t="s">
        <v>1022</v>
      </c>
      <c r="C212" s="22" t="s">
        <v>547</v>
      </c>
      <c r="E212" s="82"/>
    </row>
    <row r="213" spans="1:5" hidden="1" x14ac:dyDescent="0.4">
      <c r="A213" s="81" t="s">
        <v>1527</v>
      </c>
      <c r="B213" s="20" t="s">
        <v>1023</v>
      </c>
      <c r="C213" s="22" t="s">
        <v>548</v>
      </c>
      <c r="E213" s="82"/>
    </row>
    <row r="214" spans="1:5" hidden="1" x14ac:dyDescent="0.4">
      <c r="A214" s="81" t="s">
        <v>1527</v>
      </c>
      <c r="B214" s="20" t="s">
        <v>563</v>
      </c>
      <c r="C214" s="22" t="s">
        <v>549</v>
      </c>
      <c r="E214" s="82"/>
    </row>
    <row r="215" spans="1:5" hidden="1" x14ac:dyDescent="0.4">
      <c r="A215" s="81" t="s">
        <v>1527</v>
      </c>
      <c r="B215" s="20" t="s">
        <v>1024</v>
      </c>
      <c r="C215" s="22" t="s">
        <v>565</v>
      </c>
      <c r="E215" s="82"/>
    </row>
    <row r="216" spans="1:5" hidden="1" x14ac:dyDescent="0.4">
      <c r="A216" s="81" t="s">
        <v>1527</v>
      </c>
      <c r="B216" s="20" t="s">
        <v>1025</v>
      </c>
      <c r="C216" s="22" t="s">
        <v>552</v>
      </c>
      <c r="E216" s="82"/>
    </row>
    <row r="217" spans="1:5" hidden="1" x14ac:dyDescent="0.4">
      <c r="A217" s="81" t="s">
        <v>1527</v>
      </c>
      <c r="B217" s="20" t="s">
        <v>1026</v>
      </c>
      <c r="C217" s="22" t="s">
        <v>960</v>
      </c>
      <c r="E217" s="82"/>
    </row>
    <row r="218" spans="1:5" hidden="1" x14ac:dyDescent="0.4">
      <c r="A218" s="81" t="s">
        <v>1527</v>
      </c>
      <c r="B218" s="20" t="s">
        <v>1027</v>
      </c>
      <c r="C218" s="22" t="s">
        <v>978</v>
      </c>
      <c r="E218" s="82"/>
    </row>
    <row r="219" spans="1:5" hidden="1" x14ac:dyDescent="0.4">
      <c r="A219" s="81" t="s">
        <v>1527</v>
      </c>
      <c r="B219" s="20" t="s">
        <v>1028</v>
      </c>
      <c r="C219" s="22" t="s">
        <v>980</v>
      </c>
      <c r="E219" s="82"/>
    </row>
    <row r="220" spans="1:5" hidden="1" x14ac:dyDescent="0.4">
      <c r="A220" s="81" t="s">
        <v>1527</v>
      </c>
      <c r="B220" s="20" t="s">
        <v>1029</v>
      </c>
      <c r="C220" s="22" t="s">
        <v>982</v>
      </c>
      <c r="E220" s="82"/>
    </row>
    <row r="221" spans="1:5" hidden="1" x14ac:dyDescent="0.4">
      <c r="A221" s="81" t="s">
        <v>1527</v>
      </c>
      <c r="B221" s="20" t="s">
        <v>1030</v>
      </c>
      <c r="C221" s="22" t="s">
        <v>984</v>
      </c>
      <c r="E221" s="82"/>
    </row>
    <row r="222" spans="1:5" hidden="1" x14ac:dyDescent="0.4">
      <c r="A222" s="81" t="s">
        <v>1527</v>
      </c>
      <c r="B222" s="20" t="s">
        <v>1031</v>
      </c>
      <c r="C222" s="22" t="s">
        <v>986</v>
      </c>
      <c r="E222" s="82"/>
    </row>
    <row r="223" spans="1:5" hidden="1" x14ac:dyDescent="0.4">
      <c r="A223" s="81" t="s">
        <v>1527</v>
      </c>
      <c r="B223" s="20" t="s">
        <v>1032</v>
      </c>
      <c r="C223" s="22" t="s">
        <v>988</v>
      </c>
      <c r="E223" s="82"/>
    </row>
    <row r="224" spans="1:5" hidden="1" x14ac:dyDescent="0.4">
      <c r="A224" s="81" t="s">
        <v>1527</v>
      </c>
      <c r="B224" s="20" t="s">
        <v>1033</v>
      </c>
      <c r="C224" s="22" t="s">
        <v>990</v>
      </c>
      <c r="E224" s="82"/>
    </row>
    <row r="225" spans="1:5" hidden="1" x14ac:dyDescent="0.4">
      <c r="A225" s="81" t="s">
        <v>1527</v>
      </c>
      <c r="B225" s="20" t="s">
        <v>1034</v>
      </c>
      <c r="C225" s="22" t="s">
        <v>992</v>
      </c>
      <c r="E225" s="82"/>
    </row>
    <row r="226" spans="1:5" hidden="1" x14ac:dyDescent="0.4">
      <c r="A226" s="81" t="s">
        <v>1527</v>
      </c>
      <c r="B226" s="20" t="s">
        <v>1035</v>
      </c>
      <c r="C226" s="22" t="s">
        <v>994</v>
      </c>
      <c r="E226" s="82"/>
    </row>
    <row r="227" spans="1:5" hidden="1" x14ac:dyDescent="0.4">
      <c r="A227" s="81" t="s">
        <v>1527</v>
      </c>
      <c r="B227" s="20" t="s">
        <v>1036</v>
      </c>
      <c r="C227" s="22" t="s">
        <v>996</v>
      </c>
      <c r="E227" s="82"/>
    </row>
    <row r="228" spans="1:5" hidden="1" x14ac:dyDescent="0.4">
      <c r="A228" s="81" t="s">
        <v>1527</v>
      </c>
      <c r="B228" s="20" t="s">
        <v>1037</v>
      </c>
      <c r="C228" s="22" t="s">
        <v>998</v>
      </c>
      <c r="E228" s="82"/>
    </row>
    <row r="229" spans="1:5" hidden="1" x14ac:dyDescent="0.4">
      <c r="A229" s="81" t="s">
        <v>1527</v>
      </c>
      <c r="B229" s="20" t="s">
        <v>1038</v>
      </c>
      <c r="C229" s="22" t="s">
        <v>1000</v>
      </c>
      <c r="E229" s="82"/>
    </row>
    <row r="230" spans="1:5" hidden="1" x14ac:dyDescent="0.4">
      <c r="A230" s="81" t="s">
        <v>1527</v>
      </c>
      <c r="B230" s="20" t="s">
        <v>1039</v>
      </c>
      <c r="C230" s="22" t="s">
        <v>1002</v>
      </c>
      <c r="E230" s="82"/>
    </row>
    <row r="231" spans="1:5" hidden="1" x14ac:dyDescent="0.4">
      <c r="A231" s="81" t="s">
        <v>1527</v>
      </c>
      <c r="B231" s="20" t="s">
        <v>1040</v>
      </c>
      <c r="C231" s="22" t="s">
        <v>1004</v>
      </c>
      <c r="E231" s="82"/>
    </row>
    <row r="232" spans="1:5" hidden="1" x14ac:dyDescent="0.4">
      <c r="A232" s="81" t="s">
        <v>1527</v>
      </c>
      <c r="B232" s="20" t="s">
        <v>1041</v>
      </c>
      <c r="C232" s="22" t="s">
        <v>1006</v>
      </c>
      <c r="E232" s="82"/>
    </row>
    <row r="233" spans="1:5" hidden="1" x14ac:dyDescent="0.4">
      <c r="A233" s="81" t="s">
        <v>1527</v>
      </c>
      <c r="B233" s="20" t="s">
        <v>1042</v>
      </c>
      <c r="C233" s="22" t="s">
        <v>1008</v>
      </c>
      <c r="E233" s="82"/>
    </row>
    <row r="234" spans="1:5" hidden="1" x14ac:dyDescent="0.4">
      <c r="A234" s="81" t="s">
        <v>1527</v>
      </c>
      <c r="B234" s="20" t="s">
        <v>1043</v>
      </c>
      <c r="C234" s="22" t="s">
        <v>1010</v>
      </c>
      <c r="E234" s="82"/>
    </row>
    <row r="235" spans="1:5" hidden="1" x14ac:dyDescent="0.4">
      <c r="A235" s="81" t="s">
        <v>1527</v>
      </c>
      <c r="B235" s="20" t="s">
        <v>1044</v>
      </c>
      <c r="C235" s="22" t="s">
        <v>1012</v>
      </c>
      <c r="E235" s="82"/>
    </row>
    <row r="236" spans="1:5" hidden="1" x14ac:dyDescent="0.4">
      <c r="A236" s="81" t="s">
        <v>1527</v>
      </c>
      <c r="B236" s="20" t="s">
        <v>1045</v>
      </c>
      <c r="C236" s="22" t="s">
        <v>1014</v>
      </c>
      <c r="E236" s="82"/>
    </row>
    <row r="237" spans="1:5" hidden="1" x14ac:dyDescent="0.4">
      <c r="A237" s="81" t="s">
        <v>1527</v>
      </c>
      <c r="B237" s="20" t="s">
        <v>1046</v>
      </c>
      <c r="C237" s="22" t="s">
        <v>1016</v>
      </c>
      <c r="E237" s="82"/>
    </row>
    <row r="238" spans="1:5" hidden="1" x14ac:dyDescent="0.4">
      <c r="A238" s="81" t="s">
        <v>1527</v>
      </c>
      <c r="B238" s="20" t="s">
        <v>1047</v>
      </c>
      <c r="C238" s="22" t="s">
        <v>1018</v>
      </c>
      <c r="E238" s="82"/>
    </row>
    <row r="239" spans="1:5" hidden="1" x14ac:dyDescent="0.4">
      <c r="A239" s="81" t="s">
        <v>1527</v>
      </c>
      <c r="B239" s="20" t="s">
        <v>1048</v>
      </c>
      <c r="C239" s="22" t="s">
        <v>1020</v>
      </c>
      <c r="E239" s="82"/>
    </row>
    <row r="240" spans="1:5" hidden="1" x14ac:dyDescent="0.4">
      <c r="A240" s="81" t="s">
        <v>1527</v>
      </c>
      <c r="B240" s="20" t="s">
        <v>1049</v>
      </c>
      <c r="C240" s="22" t="s">
        <v>553</v>
      </c>
      <c r="E240" s="82"/>
    </row>
    <row r="241" spans="1:5" hidden="1" x14ac:dyDescent="0.4">
      <c r="A241" s="81" t="s">
        <v>1527</v>
      </c>
      <c r="B241" s="20" t="s">
        <v>1050</v>
      </c>
      <c r="C241" s="22" t="s">
        <v>556</v>
      </c>
      <c r="E241" s="82"/>
    </row>
    <row r="242" spans="1:5" hidden="1" x14ac:dyDescent="0.4">
      <c r="A242" s="81" t="s">
        <v>1527</v>
      </c>
      <c r="B242" s="78" t="s">
        <v>1051</v>
      </c>
      <c r="C242" s="77" t="s">
        <v>1452</v>
      </c>
      <c r="E242" s="82"/>
    </row>
    <row r="243" spans="1:5" hidden="1" x14ac:dyDescent="0.4">
      <c r="A243" s="81" t="s">
        <v>1527</v>
      </c>
      <c r="B243" s="20" t="s">
        <v>1052</v>
      </c>
      <c r="C243" s="22" t="s">
        <v>559</v>
      </c>
      <c r="E243" s="82"/>
    </row>
    <row r="244" spans="1:5" hidden="1" x14ac:dyDescent="0.4">
      <c r="A244" s="81" t="s">
        <v>1527</v>
      </c>
      <c r="B244" s="20" t="s">
        <v>1053</v>
      </c>
      <c r="C244" s="22" t="s">
        <v>560</v>
      </c>
      <c r="E244" s="82"/>
    </row>
    <row r="245" spans="1:5" hidden="1" x14ac:dyDescent="0.4">
      <c r="A245" s="81" t="s">
        <v>1527</v>
      </c>
      <c r="B245" s="20" t="s">
        <v>1054</v>
      </c>
      <c r="C245" s="22" t="s">
        <v>561</v>
      </c>
      <c r="E245" s="82"/>
    </row>
    <row r="246" spans="1:5" hidden="1" x14ac:dyDescent="0.4">
      <c r="A246" s="81" t="s">
        <v>1527</v>
      </c>
      <c r="B246" s="20" t="s">
        <v>1458</v>
      </c>
      <c r="C246" s="22" t="s">
        <v>562</v>
      </c>
      <c r="E246" s="82"/>
    </row>
    <row r="247" spans="1:5" ht="16.5" hidden="1" thickBot="1" x14ac:dyDescent="0.45">
      <c r="A247" s="84"/>
      <c r="B247" s="85"/>
      <c r="C247" s="86"/>
      <c r="D247" s="113"/>
      <c r="E247" s="87"/>
    </row>
  </sheetData>
  <autoFilter ref="A1:D14" xr:uid="{3F13A79C-E99B-4111-AC51-16A9708E8FB6}"/>
  <phoneticPr fontId="1"/>
  <conditionalFormatting sqref="A110:A1048576 A1:A108">
    <cfRule type="duplicateValues" dxfId="13" priority="1"/>
  </conditionalFormatting>
  <dataValidations count="241">
    <dataValidation type="list" allowBlank="1" showInputMessage="1" showErrorMessage="1" sqref="D8" xr:uid="{111B1AC0-D2E9-4AF5-8C21-ABF5D697720D}">
      <formula1>基本_非居室の有無</formula1>
    </dataValidation>
    <dataValidation type="list" allowBlank="1" showInputMessage="1" showErrorMessage="1" sqref="D7" xr:uid="{8249125D-A15F-4076-9010-58C6FC4E3A05}">
      <formula1>基本_その他の居室の有無</formula1>
    </dataValidation>
    <dataValidation type="list" allowBlank="1" showInputMessage="1" showErrorMessage="1" sqref="D3" xr:uid="{B824EABF-8D60-429F-B8C2-E65826278648}">
      <formula1>基本_入力責任者</formula1>
    </dataValidation>
    <dataValidation type="list" allowBlank="1" showInputMessage="1" showErrorMessage="1" sqref="D2" xr:uid="{7521CFA7-2E23-42CE-A281-F640D07EA381}">
      <formula1>基本_住宅タイプの名称</formula1>
    </dataValidation>
    <dataValidation type="list" allowBlank="1" showInputMessage="1" showErrorMessage="1" sqref="D14" xr:uid="{65D2C41B-36C9-4F2E-9CA1-B77E4212F85C}">
      <formula1>基本_年間の日射地域区分</formula1>
    </dataValidation>
    <dataValidation type="list" allowBlank="1" showInputMessage="1" showErrorMessage="1" sqref="D13" xr:uid="{0ECFA113-F270-4E4F-9D9D-DFA2B63ABA9B}">
      <formula1>基本_年間の日射地域区分の指定</formula1>
    </dataValidation>
    <dataValidation type="list" allowBlank="1" showInputMessage="1" showErrorMessage="1" sqref="D12" xr:uid="{24A4E4B1-D399-4D9E-A2B1-2A19154775CC}">
      <formula1>基本_地域の区分</formula1>
    </dataValidation>
    <dataValidation type="list" allowBlank="1" showInputMessage="1" showErrorMessage="1" sqref="D6" xr:uid="{37BD6C74-CADF-4685-AA63-C1ED52FE5281}">
      <formula1>基本_居室の構成</formula1>
    </dataValidation>
    <dataValidation type="list" allowBlank="1" showInputMessage="1" showErrorMessage="1" sqref="D5" xr:uid="{CC2E4738-1D39-491E-9923-C66A48F10D63}">
      <formula1>基本_住戸の評価方法</formula1>
    </dataValidation>
    <dataValidation type="list" allowBlank="1" showInputMessage="1" showErrorMessage="1" sqref="D4" xr:uid="{6F87483A-B06B-4654-B94D-760CAF285AC1}">
      <formula1>基本_住宅の建て方</formula1>
    </dataValidation>
    <dataValidation type="list" allowBlank="1" showInputMessage="1" showErrorMessage="1" sqref="D21" xr:uid="{795A2C4C-EFE0-4390-9028-346EFB1A79E5}">
      <formula1>外皮_通風の利用_その他の居室</formula1>
    </dataValidation>
    <dataValidation type="list" allowBlank="1" showInputMessage="1" showErrorMessage="1" sqref="D24" xr:uid="{7E5D36B1-29D7-4B4C-B56B-0D0DA96B4BB7}">
      <formula1>外皮_外気が経由する床下の面積の割合</formula1>
    </dataValidation>
    <dataValidation type="list" allowBlank="1" showInputMessage="1" showErrorMessage="1" sqref="D19" xr:uid="{7638E792-D50E-4FE1-8C47-08157FBAC6E8}">
      <formula1>外皮_暖房期の平均日射熱取得率</formula1>
    </dataValidation>
    <dataValidation type="list" allowBlank="1" showInputMessage="1" showErrorMessage="1" sqref="D18" xr:uid="{5F15A8DE-A641-47DA-9C37-C3BDDFF637E6}">
      <formula1>外皮_冷房期の平均日射熱取得率</formula1>
    </dataValidation>
    <dataValidation type="list" allowBlank="1" showInputMessage="1" showErrorMessage="1" sqref="D17" xr:uid="{F94C422E-0790-4B1D-900E-418CC99D7C8F}">
      <formula1>外皮_外皮平均熱貫流率</formula1>
    </dataValidation>
    <dataValidation type="list" allowBlank="1" showInputMessage="1" showErrorMessage="1" sqref="D16" xr:uid="{BD62BB4E-4A40-4E98-8B5F-E9D8E3EDC336}">
      <formula1>外皮_外皮面積の合計</formula1>
    </dataValidation>
    <dataValidation type="list" allowBlank="1" showInputMessage="1" showErrorMessage="1" sqref="D25" xr:uid="{F2E937D6-87C7-4748-A6AA-3ED879F7FF04}">
      <formula1>外皮_床下空間の断熱</formula1>
    </dataValidation>
    <dataValidation type="list" allowBlank="1" showInputMessage="1" showErrorMessage="1" sqref="D23" xr:uid="{E2283C2C-E89C-4EF3-9979-C21F00908166}">
      <formula1>外皮_床下空間を経由して外気を導入する換気方式の利用</formula1>
    </dataValidation>
    <dataValidation type="list" allowBlank="1" showInputMessage="1" showErrorMessage="1" sqref="D22" xr:uid="{6FAE13CE-D8BA-49A1-BAAC-A1829E210D68}">
      <formula1>外皮_蓄熱の利用</formula1>
    </dataValidation>
    <dataValidation type="list" allowBlank="1" showInputMessage="1" showErrorMessage="1" sqref="D20" xr:uid="{93D3F524-614C-40A1-9DF3-E4B600AC0F34}">
      <formula1>外皮_通風の利用_主たる居室</formula1>
    </dataValidation>
    <dataValidation type="list" allowBlank="1" showInputMessage="1" showErrorMessage="1" sqref="D15" xr:uid="{DDF3979C-C33C-4353-9E0A-5BE9ED1B9533}">
      <formula1>外皮_外皮性能の評価方法</formula1>
    </dataValidation>
    <dataValidation type="list" allowBlank="1" showInputMessage="1" showErrorMessage="1" sqref="D26" xr:uid="{F6BF55DE-7935-4703-A31F-653661F36A3E}">
      <formula1>暖房_暖房方式</formula1>
    </dataValidation>
    <dataValidation type="list" allowBlank="1" showInputMessage="1" showErrorMessage="1" sqref="D27" xr:uid="{C30F90ED-2DF9-444A-91F0-58ADE3C5994F}">
      <formula1>暖房_暖房設備機器または放熱器の種類_主たる居室</formula1>
    </dataValidation>
    <dataValidation type="list" allowBlank="1" showInputMessage="1" showErrorMessage="1" sqref="D28" xr:uid="{AA63EB77-7324-4C9F-A305-46B93ECD51D3}">
      <formula1>暖房_エネルギー消費効率の入力_主たる居室</formula1>
    </dataValidation>
    <dataValidation type="list" allowBlank="1" showInputMessage="1" showErrorMessage="1" sqref="D29" xr:uid="{DAD6EF41-8741-4A9D-9DE2-66F1AC7B88A2}">
      <formula1>暖房_定格能力におけるエネルギー消費効率_主たる居室</formula1>
    </dataValidation>
    <dataValidation type="list" allowBlank="1" showInputMessage="1" showErrorMessage="1" sqref="D30" xr:uid="{9D043B86-6416-4D03-9747-D7B3143FAEFB}">
      <formula1>暖房_エネルギー消費効率の区分_主たる居室</formula1>
    </dataValidation>
    <dataValidation type="list" allowBlank="1" showInputMessage="1" showErrorMessage="1" sqref="D31" xr:uid="{8B21907B-25D0-4F30-9EE5-68402DEDB436}">
      <formula1>暖房_小能力時高効率型コンプレッサー_主たる居室</formula1>
    </dataValidation>
    <dataValidation type="list" allowBlank="1" showInputMessage="1" showErrorMessage="1" sqref="D32" xr:uid="{E727D4F6-7E28-44F9-B9A3-0EBAE1B21712}">
      <formula1>暖房_敷設率の入力_主たる居室</formula1>
    </dataValidation>
    <dataValidation type="list" allowBlank="1" showInputMessage="1" showErrorMessage="1" sqref="D33" xr:uid="{C048C2DC-56E6-4335-9469-FB3DDF541CA4}">
      <formula1>暖房_敷設率_主たる居室</formula1>
    </dataValidation>
    <dataValidation type="list" allowBlank="1" showInputMessage="1" showErrorMessage="1" sqref="D34" xr:uid="{996F65E2-7705-40BC-96D5-33B32817E39E}">
      <formula1>暖房_仮想床の床面積を除いた敷設率の入力_主たる居室</formula1>
    </dataValidation>
    <dataValidation type="list" allowBlank="1" showInputMessage="1" showErrorMessage="1" sqref="D35" xr:uid="{E045D450-6B97-48D9-B4F9-51A44B7D6161}">
      <formula1>暖房_仮想床の床面積を除いた敷設率_主たる居室</formula1>
    </dataValidation>
    <dataValidation type="list" allowBlank="1" showInputMessage="1" showErrorMessage="1" sqref="D36" xr:uid="{4EBBE42C-60C6-423F-96B8-9C53C354588E}">
      <formula1>暖房_上面放熱率_床の断熱_主たる居室</formula1>
    </dataValidation>
    <dataValidation type="list" allowBlank="1" showInputMessage="1" showErrorMessage="1" sqref="D37" xr:uid="{4A15D450-5CB1-4D6A-9B5E-1A5E68F4A8C4}">
      <formula1>暖房_低出力モード_主たる居室</formula1>
    </dataValidation>
    <dataValidation type="list" allowBlank="1" showInputMessage="1" showErrorMessage="1" sqref="D38" xr:uid="{1C8639D2-E11F-412B-B84D-38AB2C96BBD5}">
      <formula1>暖房_断熱配管_主たる居室</formula1>
    </dataValidation>
    <dataValidation type="list" allowBlank="1" showInputMessage="1" showErrorMessage="1" sqref="D39" xr:uid="{E968D936-D0AC-40B0-A422-BC3B74C9B301}">
      <formula1>暖房_熱出力_主たる居室</formula1>
    </dataValidation>
    <dataValidation type="list" allowBlank="1" showInputMessage="1" showErrorMessage="1" sqref="D40" xr:uid="{A3ADA927-E598-4313-B07E-99C7AAC5C493}">
      <formula1>暖房_熱効率_主たる居室</formula1>
    </dataValidation>
    <dataValidation type="list" allowBlank="1" showInputMessage="1" showErrorMessage="1" sqref="D41" xr:uid="{B2A3A40A-B19B-4C84-AD9B-7DB0813C97ED}">
      <formula1>暖房_点火時消費電力量_主たる居室</formula1>
    </dataValidation>
    <dataValidation type="list" allowBlank="1" showInputMessage="1" showErrorMessage="1" sqref="D42" xr:uid="{F4E85D76-4B0C-45D7-B9BE-3EF626C00765}">
      <formula1>暖房_定常時消費電力_主たる居室</formula1>
    </dataValidation>
    <dataValidation type="list" allowBlank="1" showInputMessage="1" showErrorMessage="1" sqref="D43" xr:uid="{2A6CA508-4BFB-4AD3-9977-6E7E7A5A9CCE}">
      <formula1>暖房_その他の暖房設備機器の名称_主たる居室</formula1>
    </dataValidation>
    <dataValidation type="list" allowBlank="1" showInputMessage="1" showErrorMessage="1" sqref="D44" xr:uid="{09D4810E-7261-4D3C-B0FD-72DCFF99FBA1}">
      <formula1>暖房_暖房設備機器または放熱器の種類_その他の居室</formula1>
    </dataValidation>
    <dataValidation type="list" allowBlank="1" showInputMessage="1" showErrorMessage="1" sqref="D45" xr:uid="{1C07643A-9228-488A-9985-232AF7512A88}">
      <formula1>暖房_エネルギー消費効率の入力_その他の居室</formula1>
    </dataValidation>
    <dataValidation type="list" allowBlank="1" showInputMessage="1" showErrorMessage="1" sqref="D46" xr:uid="{6CE709FB-BEC8-4327-A71A-DE7BA3A5D6F0}">
      <formula1>暖房_定格能力におけるエネルギー消費効率_その他の居室</formula1>
    </dataValidation>
    <dataValidation type="list" allowBlank="1" showInputMessage="1" showErrorMessage="1" sqref="D47" xr:uid="{332300E8-DBF3-44A2-93E2-412FFB7B7441}">
      <formula1>暖房_エネルギー消費効率の区分_その他の居室</formula1>
    </dataValidation>
    <dataValidation type="list" allowBlank="1" showInputMessage="1" showErrorMessage="1" sqref="D48" xr:uid="{CBBD93D0-F18B-42D0-A1AC-6917B172CE9A}">
      <formula1>暖房_小能力時高効率型コンプレッサー_その他の居室</formula1>
    </dataValidation>
    <dataValidation type="list" allowBlank="1" showInputMessage="1" showErrorMessage="1" sqref="D49" xr:uid="{ACF1A518-0167-4B4A-AA79-1A1B494C1BD9}">
      <formula1>暖房_敷設率の入力_その他の居室</formula1>
    </dataValidation>
    <dataValidation type="list" allowBlank="1" showInputMessage="1" showErrorMessage="1" sqref="D50" xr:uid="{66583BBE-3214-49B7-B5EC-DC996FD13BD0}">
      <formula1>暖房_敷設率_その他の居室</formula1>
    </dataValidation>
    <dataValidation type="list" allowBlank="1" showInputMessage="1" showErrorMessage="1" sqref="D51" xr:uid="{CACB2956-E39D-4582-80F9-D34819299A4C}">
      <formula1>暖房_上面放熱率_床の断熱_その他の居室</formula1>
    </dataValidation>
    <dataValidation type="list" allowBlank="1" showInputMessage="1" showErrorMessage="1" sqref="D52" xr:uid="{47F539BB-2652-451E-98F9-E78E26C5420E}">
      <formula1>暖房_低出力モード_その他の居室</formula1>
    </dataValidation>
    <dataValidation type="list" allowBlank="1" showInputMessage="1" showErrorMessage="1" sqref="D53" xr:uid="{1EDDA3B9-958E-471B-A964-23C969962F36}">
      <formula1>暖房_断熱配管_その他の居室</formula1>
    </dataValidation>
    <dataValidation type="list" allowBlank="1" showInputMessage="1" showErrorMessage="1" sqref="D54" xr:uid="{3586E4C1-B417-460A-9FFE-190171E47391}">
      <formula1>暖房_熱出力_その他の居室</formula1>
    </dataValidation>
    <dataValidation type="list" allowBlank="1" showInputMessage="1" showErrorMessage="1" sqref="D55" xr:uid="{A1C3F2EA-463B-4632-8416-A927FC036850}">
      <formula1>暖房_熱効率_その他の居室</formula1>
    </dataValidation>
    <dataValidation type="list" allowBlank="1" showInputMessage="1" showErrorMessage="1" sqref="D56" xr:uid="{E2E92DDA-A375-4EC1-B6E0-44DDBE7D21D4}">
      <formula1>暖房_点火時消費電力量_その他の居室</formula1>
    </dataValidation>
    <dataValidation type="list" allowBlank="1" showInputMessage="1" showErrorMessage="1" sqref="D57" xr:uid="{2B38FA9F-20D8-4652-B4FF-8620187C8055}">
      <formula1>暖房_定常時消費電力_その他の居室</formula1>
    </dataValidation>
    <dataValidation type="list" allowBlank="1" showInputMessage="1" showErrorMessage="1" sqref="D58" xr:uid="{27DB929E-C2D8-4A40-AD12-FBF46F3CF655}">
      <formula1>暖房_その他の暖房設備機器の名称_その他の居室</formula1>
    </dataValidation>
    <dataValidation type="list" allowBlank="1" showInputMessage="1" showErrorMessage="1" sqref="D59" xr:uid="{846EB5FB-059B-4193-95E1-A4CDD54ED8DA}">
      <formula1>暖房_温水暖房機の種類</formula1>
    </dataValidation>
    <dataValidation type="list" allowBlank="1" showInputMessage="1" showErrorMessage="1" sqref="D60" xr:uid="{FA49CFBE-A349-4417-A5C6-3F71171DBE5E}">
      <formula1>暖房_エネルギー消費効率の入力</formula1>
    </dataValidation>
    <dataValidation type="list" allowBlank="1" showInputMessage="1" showErrorMessage="1" sqref="D61" xr:uid="{D1D06AD6-BE13-4DD8-A66F-FB46BA996B80}">
      <formula1>暖房_定格能力におけるエネルギー消費効率</formula1>
    </dataValidation>
    <dataValidation type="list" allowBlank="1" showInputMessage="1" showErrorMessage="1" sqref="D62" xr:uid="{75929C53-0BD9-4F41-88E4-6F9B54912CBD}">
      <formula1>暖房_熱交換器タイプの入力</formula1>
    </dataValidation>
    <dataValidation type="list" allowBlank="1" showInputMessage="1" showErrorMessage="1" sqref="D63" xr:uid="{BD66FCE0-74A2-4471-85F6-1B8340FB1CFF}">
      <formula1>暖房_熱交換器タイプ</formula1>
    </dataValidation>
    <dataValidation type="list" allowBlank="1" showInputMessage="1" showErrorMessage="1" sqref="D64" xr:uid="{7AB08BD6-7145-4C8B-B846-AFAA2913A6DD}">
      <formula1>暖房_その他の温水暖房機の名称</formula1>
    </dataValidation>
    <dataValidation type="list" allowBlank="1" showInputMessage="1" showErrorMessage="1" sqref="D65" xr:uid="{2AF490F1-B89D-45C0-A3C1-35C7F1371E8C}">
      <formula1>暖房_断熱配管</formula1>
    </dataValidation>
    <dataValidation type="list" allowBlank="1" showInputMessage="1" showErrorMessage="1" sqref="D66" xr:uid="{A906E528-0CB9-47EE-B7B3-2B3AE4EBA150}">
      <formula1>暖房_配管が通過する空間</formula1>
    </dataValidation>
    <dataValidation type="list" allowBlank="1" showInputMessage="1" showErrorMessage="1" sqref="D67" xr:uid="{E1BDBBED-9B96-40C2-BA13-981194CE54E4}">
      <formula1>暖房_暖房設備機器の種類</formula1>
    </dataValidation>
    <dataValidation type="list" allowBlank="1" showInputMessage="1" showErrorMessage="1" sqref="D68" xr:uid="{FDB2927A-4D02-4725-8E03-18C5B7B81C5A}">
      <formula1>暖房_ダクトが通過する空間</formula1>
    </dataValidation>
    <dataValidation type="list" allowBlank="1" showInputMessage="1" showErrorMessage="1" sqref="D69" xr:uid="{142B339E-8D4F-43CD-B23F-9951E47B49EE}">
      <formula1>暖房_VAV方式</formula1>
    </dataValidation>
    <dataValidation type="list" allowBlank="1" showInputMessage="1" showErrorMessage="1" sqref="D70" xr:uid="{C31F2C08-12FE-40AC-875F-39CD168E074C}">
      <formula1>暖房_全般換気機能</formula1>
    </dataValidation>
    <dataValidation type="list" allowBlank="1" showInputMessage="1" showErrorMessage="1" sqref="D71" xr:uid="{F29E74C6-7973-472B-A983-91EAEE4E1E66}">
      <formula1>暖房_機器の仕様の入力</formula1>
    </dataValidation>
    <dataValidation type="list" allowBlank="1" showInputMessage="1" showErrorMessage="1" sqref="D72" xr:uid="{82C3F0A4-C2D6-479E-AA0D-D975140FDE63}">
      <formula1>暖房_定格暖房能力試験_能力</formula1>
    </dataValidation>
    <dataValidation type="list" allowBlank="1" showInputMessage="1" showErrorMessage="1" sqref="D73" xr:uid="{DBE04FDD-5186-484E-90A4-CA89326E9AF9}">
      <formula1>暖房_定格暖房能力試験_消費電力</formula1>
    </dataValidation>
    <dataValidation type="list" allowBlank="1" showInputMessage="1" showErrorMessage="1" sqref="D74" xr:uid="{130F9ADC-0DA5-4E36-A83A-30B86D0A7E5A}">
      <formula1>暖房_定格暖房能力試験_風量</formula1>
    </dataValidation>
    <dataValidation type="list" allowBlank="1" showInputMessage="1" showErrorMessage="1" sqref="D75" xr:uid="{E9ADE704-BBB1-4889-89DE-9E32F6D40047}">
      <formula1>暖房_定格暖房能力試験_室内側送風機の消費電力</formula1>
    </dataValidation>
    <dataValidation type="list" allowBlank="1" showInputMessage="1" showErrorMessage="1" sqref="D76" xr:uid="{40DF4180-7E35-4BE4-947F-75A6BBF47DD3}">
      <formula1>暖房_中間暖房能力試験_能力</formula1>
    </dataValidation>
    <dataValidation type="list" allowBlank="1" showInputMessage="1" showErrorMessage="1" sqref="D77" xr:uid="{5B61697C-046B-4A8B-96CA-3C72FE025FFE}">
      <formula1>暖房_中間暖房能力試験_消費電力</formula1>
    </dataValidation>
    <dataValidation type="list" allowBlank="1" showInputMessage="1" showErrorMessage="1" sqref="D78" xr:uid="{9422E2FF-C0D0-41DE-8C7B-532AAA831A2B}">
      <formula1>暖房_中間暖房能力試験_風量</formula1>
    </dataValidation>
    <dataValidation type="list" allowBlank="1" showInputMessage="1" showErrorMessage="1" sqref="D79" xr:uid="{21F7F6C0-AFA6-41E2-88F5-A86EBF4D4ABC}">
      <formula1>暖房_中間暖房能力試験_室内側送風機の消費電力</formula1>
    </dataValidation>
    <dataValidation type="list" allowBlank="1" showInputMessage="1" showErrorMessage="1" sqref="D80" xr:uid="{D9266C42-95B8-4BCD-B065-E9AC2190E62F}">
      <formula1>暖房_設計風量の入力</formula1>
    </dataValidation>
    <dataValidation type="list" allowBlank="1" showInputMessage="1" showErrorMessage="1" sqref="D81" xr:uid="{DF297F25-0481-4ECE-9C0E-AEB55AB4508B}">
      <formula1>暖房_設計風量</formula1>
    </dataValidation>
    <dataValidation type="list" allowBlank="1" showInputMessage="1" showErrorMessage="1" sqref="D82" xr:uid="{BFD716E0-D570-4FB8-8850-48C7CDAF1897}">
      <formula1>冷房_冷房方式</formula1>
    </dataValidation>
    <dataValidation type="list" allowBlank="1" showInputMessage="1" showErrorMessage="1" sqref="D83" xr:uid="{AD5F003E-7884-4144-8D74-83C7FD7AF45F}">
      <formula1>冷房_冷房設備機器の種類_主たる居室</formula1>
    </dataValidation>
    <dataValidation type="list" allowBlank="1" showInputMessage="1" showErrorMessage="1" sqref="D84" xr:uid="{31ABE45A-F4C4-4158-ADE1-E12464991B5E}">
      <formula1>冷房_エネルギー消費効率の入力_主たる居室</formula1>
    </dataValidation>
    <dataValidation type="list" allowBlank="1" showInputMessage="1" showErrorMessage="1" sqref="D85" xr:uid="{D9148016-8615-441A-9311-BFCC4227D1E3}">
      <formula1>冷房_その他の冷房設備機器の名称_主たる居室</formula1>
    </dataValidation>
    <dataValidation type="list" allowBlank="1" showInputMessage="1" showErrorMessage="1" sqref="D86" xr:uid="{B3340F50-6140-430A-A0D2-D7AB72A10972}">
      <formula1>冷房_冷房設備機器の種類_その他の居室</formula1>
    </dataValidation>
    <dataValidation type="list" allowBlank="1" showInputMessage="1" showErrorMessage="1" sqref="D87" xr:uid="{19B9108B-F664-4766-8DFC-CA8A0CE4BC59}">
      <formula1>冷房_エネルギー消費効率の入力_その他の居室</formula1>
    </dataValidation>
    <dataValidation type="list" allowBlank="1" showInputMessage="1" showErrorMessage="1" sqref="D88" xr:uid="{E6269D73-4A0E-4191-8669-8989AA972A59}">
      <formula1>冷房_その他の冷房設備機器の名称_その他の居室</formula1>
    </dataValidation>
    <dataValidation type="list" allowBlank="1" showInputMessage="1" showErrorMessage="1" sqref="D89" xr:uid="{6CF5F007-D27C-4BC7-86FA-B7B1134F1C55}">
      <formula1>冷房_冷房設備機器の種類</formula1>
    </dataValidation>
    <dataValidation type="list" allowBlank="1" showInputMessage="1" showErrorMessage="1" sqref="D90" xr:uid="{5B0BED64-A486-46F9-9FF5-13AEACEEA1E5}">
      <formula1>冷房_ダクトが通過する空間</formula1>
    </dataValidation>
    <dataValidation type="list" allowBlank="1" showInputMessage="1" showErrorMessage="1" sqref="D91" xr:uid="{C6246CEE-0DB0-4E45-B6E3-14824C61E6C6}">
      <formula1>冷房_VAV方式</formula1>
    </dataValidation>
    <dataValidation type="list" allowBlank="1" showInputMessage="1" showErrorMessage="1" sqref="D92" xr:uid="{BB1518C4-2579-4B3E-9032-E136187425A1}">
      <formula1>冷房_全般換気機能</formula1>
    </dataValidation>
    <dataValidation type="list" allowBlank="1" showInputMessage="1" showErrorMessage="1" sqref="D93" xr:uid="{392F0D3E-0039-46D8-B441-664144FD7DA1}">
      <formula1>冷房_機器の仕様の入力</formula1>
    </dataValidation>
    <dataValidation type="list" allowBlank="1" showInputMessage="1" showErrorMessage="1" sqref="D94" xr:uid="{953249C7-569E-4514-B542-CB63B8B16486}">
      <formula1>冷房_設計風量の入力</formula1>
    </dataValidation>
    <dataValidation type="list" allowBlank="1" showInputMessage="1" showErrorMessage="1" sqref="D95" xr:uid="{1108ADD5-9118-41F2-B72D-948D8B3A5247}">
      <formula1>冷房_設計風量</formula1>
    </dataValidation>
    <dataValidation type="list" allowBlank="1" showInputMessage="1" showErrorMessage="1" sqref="D96" xr:uid="{4F5EDB73-5905-4D4A-829F-F57936136B3D}">
      <formula1>換気_換気設備の方式</formula1>
    </dataValidation>
    <dataValidation type="list" allowBlank="1" showInputMessage="1" showErrorMessage="1" sqref="D97" xr:uid="{AE6AD96E-17C9-4824-BCCD-BABEB6016ADC}">
      <formula1>換気_比消費電力の入力</formula1>
    </dataValidation>
    <dataValidation type="list" allowBlank="1" showInputMessage="1" showErrorMessage="1" sqref="D98" xr:uid="{72EC5513-6771-4C2A-8A9D-BA33FA526E91}">
      <formula1>換気_省エネルギー手法</formula1>
    </dataValidation>
    <dataValidation type="list" allowBlank="1" showInputMessage="1" showErrorMessage="1" sqref="D99" xr:uid="{72F3F849-36BB-4BF3-B41F-9D15440C224E}">
      <formula1>換気_比消費電力</formula1>
    </dataValidation>
    <dataValidation type="list" allowBlank="1" showInputMessage="1" showErrorMessage="1" sqref="D100" xr:uid="{BE341DCC-769C-431D-8DCD-68F747CAE3AF}">
      <formula1>換気_換気回数</formula1>
    </dataValidation>
    <dataValidation type="list" allowBlank="1" showInputMessage="1" showErrorMessage="1" sqref="D101" xr:uid="{EFD90445-529C-4538-B865-177BDABB5298}">
      <formula1>換気_第一種換気設備の有効換気量率の入力</formula1>
    </dataValidation>
    <dataValidation type="list" allowBlank="1" showInputMessage="1" showErrorMessage="1" sqref="D102" xr:uid="{16803923-4AC3-40E1-9C6E-574CAB398AB3}">
      <formula1>換気_第一種換気設備の有効換気量率</formula1>
    </dataValidation>
    <dataValidation type="list" allowBlank="1" showInputMessage="1" showErrorMessage="1" sqref="D103" xr:uid="{AC17001E-4D46-4C88-8FEE-6BE2C1B04D5C}">
      <formula1>熱交換_熱交換型換気設備</formula1>
    </dataValidation>
    <dataValidation type="list" allowBlank="1" showInputMessage="1" showErrorMessage="1" sqref="D104" xr:uid="{33103E61-23D0-4C6E-A496-B61C2AF56459}">
      <formula1>熱交換_温度交換効率</formula1>
    </dataValidation>
    <dataValidation type="list" allowBlank="1" showInputMessage="1" showErrorMessage="1" sqref="D105" xr:uid="{96868BFC-067A-4109-924A-411BB9880C6F}">
      <formula1>熱交換_温度交換効率の補正係数の入力</formula1>
    </dataValidation>
    <dataValidation type="list" allowBlank="1" showInputMessage="1" showErrorMessage="1" sqref="D106" xr:uid="{F21DDFE1-26B1-44BA-8135-74CBF3B805C5}">
      <formula1>熱交換_給気と排気の比率による温度交換効率の補正係数</formula1>
    </dataValidation>
    <dataValidation type="list" allowBlank="1" showInputMessage="1" showErrorMessage="1" sqref="D107" xr:uid="{8E197C4A-C957-4CE2-A79C-55472F81B5E1}">
      <formula1>熱交換_排気過多時における住宅外皮経由の漏気による温度交換効率の補正係数</formula1>
    </dataValidation>
    <dataValidation type="list" allowBlank="1" showInputMessage="1" showErrorMessage="1" sqref="D108" xr:uid="{44D7890F-D2DD-4BA7-B78E-9DBA02C7E6E6}">
      <formula1>給湯_給湯設備・浴室等の有無</formula1>
    </dataValidation>
    <dataValidation type="list" allowBlank="1" showInputMessage="1" showErrorMessage="1" sqref="D109" xr:uid="{E39F3DD9-5361-4063-A4E7-2F2DEA0C7166}">
      <formula1>給湯_熱源機の種類</formula1>
    </dataValidation>
    <dataValidation type="list" allowBlank="1" showInputMessage="1" showErrorMessage="1" sqref="D110" xr:uid="{70524F6E-E860-4A19-860C-C59D90B014B1}">
      <formula1>給湯_電気ヒートポンプ給湯機の指定</formula1>
    </dataValidation>
    <dataValidation type="list" allowBlank="1" showInputMessage="1" showErrorMessage="1" sqref="D111" xr:uid="{58E5D9EF-12E9-409B-8D0D-6837D5646AB2}">
      <formula1>給湯_品番_メーカ名_品番等</formula1>
    </dataValidation>
    <dataValidation type="list" allowBlank="1" showInputMessage="1" showErrorMessage="1" sqref="D112" xr:uid="{AB0A0F0D-BF0A-408F-B4DF-52F8D34537A4}">
      <formula1>給湯_冷媒の種類</formula1>
    </dataValidation>
    <dataValidation type="list" allowBlank="1" showInputMessage="1" showErrorMessage="1" sqref="D113" xr:uid="{BFE355D7-E117-4C10-AAA5-418D4A9C1B60}">
      <formula1>給湯_タンクユニット容量</formula1>
    </dataValidation>
    <dataValidation type="list" allowBlank="1" showInputMessage="1" showErrorMessage="1" sqref="D114" xr:uid="{98CF5547-42CF-4C08-856B-C49934478C19}">
      <formula1>給湯_効率の入力_ガス給湯機</formula1>
    </dataValidation>
    <dataValidation type="list" allowBlank="1" showInputMessage="1" showErrorMessage="1" sqref="D115" xr:uid="{0DED4608-E068-4019-B838-2438DB5AB77A}">
      <formula1>給湯_効率の入力_石油給湯機</formula1>
    </dataValidation>
    <dataValidation type="list" allowBlank="1" showInputMessage="1" showErrorMessage="1" sqref="D116" xr:uid="{E736C620-0FD4-450E-A17E-BEF3E932497E}">
      <formula1>給湯_効率の入力_ガス給湯温水暖房機</formula1>
    </dataValidation>
    <dataValidation type="list" allowBlank="1" showInputMessage="1" showErrorMessage="1" sqref="D117" xr:uid="{273735A1-D0DF-487F-A925-2040F242AA47}">
      <formula1>給湯_効率の入力_石油従来型給湯温水暖房機</formula1>
    </dataValidation>
    <dataValidation type="list" allowBlank="1" showInputMessage="1" showErrorMessage="1" sqref="D118" xr:uid="{D93A7811-B422-47DA-8A82-4EB4224B7E36}">
      <formula1>給湯_効率の入力_石油潜熱回収型給湯温水暖房機</formula1>
    </dataValidation>
    <dataValidation type="list" allowBlank="1" showInputMessage="1" showErrorMessage="1" sqref="D119" xr:uid="{B4C2CF75-CED9-4D31-9640-418674CCB5D0}">
      <formula1>給湯_電気ヒートポンプ・ガス瞬間式併用型給湯温水暖房機の区分</formula1>
    </dataValidation>
    <dataValidation type="list" allowBlank="1" showInputMessage="1" showErrorMessage="1" sqref="D120" xr:uid="{47A53465-5A7D-4708-B552-188E78FF3091}">
      <formula1>給湯_電気ヒートポンプ・ガス瞬間式併用型給湯機の指定</formula1>
    </dataValidation>
    <dataValidation type="list" allowBlank="1" showInputMessage="1" showErrorMessage="1" sqref="D121" xr:uid="{AF36FE58-C1A7-4FE0-8F12-D2272D54FDF2}">
      <formula1>給湯_その他の給湯設備機器の名称</formula1>
    </dataValidation>
    <dataValidation type="list" allowBlank="1" showInputMessage="1" showErrorMessage="1" sqref="D122" xr:uid="{13FA50A1-B245-43D1-8546-7AF38163D448}">
      <formula1>給湯_ふろ機能の種類</formula1>
    </dataValidation>
    <dataValidation type="list" allowBlank="1" showInputMessage="1" showErrorMessage="1" sqref="D123" xr:uid="{0B18C816-C260-4652-A56C-8E1A774ECC87}">
      <formula1>給湯_配管方式</formula1>
    </dataValidation>
    <dataValidation type="list" allowBlank="1" showInputMessage="1" showErrorMessage="1" sqref="D124" xr:uid="{EE73C8F6-09B5-4AC9-A34D-35530EDF2C31}">
      <formula1>給湯_台所水栓</formula1>
    </dataValidation>
    <dataValidation type="list" allowBlank="1" showInputMessage="1" showErrorMessage="1" sqref="D125" xr:uid="{2E9CB289-BC60-4189-821D-C1D6B8F41913}">
      <formula1>給湯_浴室シャワー水栓</formula1>
    </dataValidation>
    <dataValidation type="list" allowBlank="1" showInputMessage="1" showErrorMessage="1" sqref="D126" xr:uid="{36713AFF-7AE7-422B-840F-E1DF82BB3EBD}">
      <formula1>給湯_洗面水栓</formula1>
    </dataValidation>
    <dataValidation type="list" allowBlank="1" showInputMessage="1" showErrorMessage="1" sqref="D127" xr:uid="{7E9C083D-053A-4629-9AF6-E508BACBDE00}">
      <formula1>給湯_浴槽の保温措置</formula1>
    </dataValidation>
    <dataValidation type="list" allowBlank="1" showInputMessage="1" showErrorMessage="1" sqref="D128" xr:uid="{B55D3704-E89F-4E8C-BB80-B759334A43B3}">
      <formula1>照明_主たる居室の照明設備</formula1>
    </dataValidation>
    <dataValidation type="list" allowBlank="1" showInputMessage="1" showErrorMessage="1" sqref="D129" xr:uid="{B597F772-235D-4860-926C-BF365F74F4BB}">
      <formula1>照明_照明器具の種類_主たる居室</formula1>
    </dataValidation>
    <dataValidation type="list" allowBlank="1" showInputMessage="1" showErrorMessage="1" sqref="D130" xr:uid="{E2751B8A-5E35-4378-B778-07C39A43483B}">
      <formula1>照明_多灯分散照明方式_主たる居室</formula1>
    </dataValidation>
    <dataValidation type="list" allowBlank="1" showInputMessage="1" showErrorMessage="1" sqref="D131" xr:uid="{CD7E15D7-A177-4B58-BC61-5090B3296B2B}">
      <formula1>照明_調光が可能な制御_主たる居室</formula1>
    </dataValidation>
    <dataValidation type="list" allowBlank="1" showInputMessage="1" showErrorMessage="1" sqref="D132" xr:uid="{AE378535-2828-4493-810D-0660E1108765}">
      <formula1>照明_その他の居室の照明設備</formula1>
    </dataValidation>
    <dataValidation type="list" allowBlank="1" showInputMessage="1" showErrorMessage="1" sqref="D133" xr:uid="{F69C1462-DA2C-4B20-AA27-0E1BFE8F11A8}">
      <formula1>照明_照明器具の種類_その他の居室</formula1>
    </dataValidation>
    <dataValidation type="list" allowBlank="1" showInputMessage="1" showErrorMessage="1" sqref="D134" xr:uid="{1661AD9F-FB7D-49EE-AA2E-671087BAF336}">
      <formula1>照明_調光が可能な制御_その他の居室</formula1>
    </dataValidation>
    <dataValidation type="list" allowBlank="1" showInputMessage="1" showErrorMessage="1" sqref="D135" xr:uid="{CB34E2A5-5719-4344-89AF-D746C44AB283}">
      <formula1>照明_非居室の照明設備</formula1>
    </dataValidation>
    <dataValidation type="list" allowBlank="1" showInputMessage="1" showErrorMessage="1" sqref="D136" xr:uid="{AC3A8D31-FB2B-4A05-A9F9-7B3CE281E1E3}">
      <formula1>照明_照明器具の種類_非居室</formula1>
    </dataValidation>
    <dataValidation type="list" allowBlank="1" showInputMessage="1" showErrorMessage="1" sqref="D137" xr:uid="{7F3C5B1B-23BB-4CE1-80CB-8304829F6BCA}">
      <formula1>太陽光_太陽光発電設備</formula1>
    </dataValidation>
    <dataValidation type="list" allowBlank="1" showInputMessage="1" showErrorMessage="1" sqref="D138" xr:uid="{242BB8FB-741F-44D7-A72F-EB336E81AB6A}">
      <formula1>太陽光_発電の評価</formula1>
    </dataValidation>
    <dataValidation type="list" allowBlank="1" showInputMessage="1" showErrorMessage="1" sqref="D139" xr:uid="{08A26CDB-F2CB-4E7F-8729-C890ADD94F93}">
      <formula1>太陽光_方位の異なるパネルの面数</formula1>
    </dataValidation>
    <dataValidation type="list" allowBlank="1" showInputMessage="1" showErrorMessage="1" sqref="D140" xr:uid="{5CB25FE8-36D5-404A-87B7-BE01A6CA7C2C}">
      <formula1>太陽光_パワーコンディショナの定格負荷効率の入力</formula1>
    </dataValidation>
    <dataValidation type="list" allowBlank="1" showInputMessage="1" showErrorMessage="1" sqref="D141" xr:uid="{4718B801-BE04-4933-9584-55752A0BAFF6}">
      <formula1>太陽光_パワーコンディショナの定格負荷効率</formula1>
    </dataValidation>
    <dataValidation type="list" allowBlank="1" showInputMessage="1" showErrorMessage="1" sqref="D142" xr:uid="{24A5B3FA-09BB-4F17-8126-94FDF5C26D5B}">
      <formula1>太陽光_太陽電池アレイのシステム容量_パネル1</formula1>
    </dataValidation>
    <dataValidation type="list" allowBlank="1" showInputMessage="1" showErrorMessage="1" sqref="D143" xr:uid="{C17F5270-465A-4367-A8C5-7FDEBD1DB419}">
      <formula1>太陽光_太陽電池アレイの種類_パネル1</formula1>
    </dataValidation>
    <dataValidation type="list" allowBlank="1" showInputMessage="1" showErrorMessage="1" sqref="D144" xr:uid="{F1360888-EE3F-4E46-99CB-10AA15398338}">
      <formula1>太陽光_太陽電池アレイ設置方式_パネル1</formula1>
    </dataValidation>
    <dataValidation type="list" allowBlank="1" showInputMessage="1" showErrorMessage="1" sqref="D145" xr:uid="{715206C8-A99E-4AE3-BE74-435787325D59}">
      <formula1>太陽光_パネルの設置方位角_パネル1</formula1>
    </dataValidation>
    <dataValidation type="list" allowBlank="1" showInputMessage="1" showErrorMessage="1" sqref="D146" xr:uid="{91786727-4C06-4982-B9B1-A6A4E7A591B2}">
      <formula1>太陽光_パネル設置傾斜角_パネル1</formula1>
    </dataValidation>
    <dataValidation type="list" allowBlank="1" showInputMessage="1" showErrorMessage="1" sqref="D147" xr:uid="{2571EEC1-0AA5-448B-A5B8-B15A6F5E0FB9}">
      <formula1>太陽光_太陽電池アレイのシステム容量_パネル2</formula1>
    </dataValidation>
    <dataValidation type="list" allowBlank="1" showInputMessage="1" showErrorMessage="1" sqref="D148" xr:uid="{5510A25D-B658-4D97-829D-DD4C88BE80D5}">
      <formula1>太陽光_太陽電池アレイの種類_パネル2</formula1>
    </dataValidation>
    <dataValidation type="list" allowBlank="1" showInputMessage="1" showErrorMessage="1" sqref="D149" xr:uid="{4EEEF1F2-3A5A-4900-97B1-A5DFB22C4D80}">
      <formula1>太陽光_太陽電池アレイ設置方式_パネル2</formula1>
    </dataValidation>
    <dataValidation type="list" allowBlank="1" showInputMessage="1" showErrorMessage="1" sqref="D150" xr:uid="{92C67E97-A560-48A1-B4F6-E6ADA454C7DA}">
      <formula1>太陽光_パネルの設置方位角_パネル2</formula1>
    </dataValidation>
    <dataValidation type="list" allowBlank="1" showInputMessage="1" showErrorMessage="1" sqref="D151" xr:uid="{0BBE3FC1-BBAF-4970-B748-B8EBC07BBB26}">
      <formula1>太陽光_パネル設置傾斜角_パネル2</formula1>
    </dataValidation>
    <dataValidation type="list" allowBlank="1" showInputMessage="1" showErrorMessage="1" sqref="D152" xr:uid="{337ED74B-3AAE-4D1F-969D-DABB7FAB48A9}">
      <formula1>太陽光_太陽電池アレイのシステム容量_パネル3</formula1>
    </dataValidation>
    <dataValidation type="list" allowBlank="1" showInputMessage="1" showErrorMessage="1" sqref="D153" xr:uid="{089D7234-ECBE-41D4-A5D3-A02DBB23FC20}">
      <formula1>太陽光_太陽電池アレイの種類_パネル3</formula1>
    </dataValidation>
    <dataValidation type="list" allowBlank="1" showInputMessage="1" showErrorMessage="1" sqref="D154" xr:uid="{D3FEF17E-0367-437C-915F-D5E2FCD5EBC0}">
      <formula1>太陽光_太陽電池アレイ設置方式_パネル3</formula1>
    </dataValidation>
    <dataValidation type="list" allowBlank="1" showInputMessage="1" showErrorMessage="1" sqref="D155" xr:uid="{FE88B113-8D86-4570-964D-26BE20E8FFCC}">
      <formula1>太陽光_パネルの設置方位角_パネル3</formula1>
    </dataValidation>
    <dataValidation type="list" allowBlank="1" showInputMessage="1" showErrorMessage="1" sqref="D156" xr:uid="{A8802A5F-ED1F-46D1-8669-A81D91D2635E}">
      <formula1>太陽光_パネル設置傾斜角_パネル3</formula1>
    </dataValidation>
    <dataValidation type="list" allowBlank="1" showInputMessage="1" showErrorMessage="1" sqref="D157" xr:uid="{80143CC0-2373-4CBA-B6DC-0E84A5B1C9D5}">
      <formula1>太陽熱_液体集熱式太陽熱利用設備</formula1>
    </dataValidation>
    <dataValidation type="list" allowBlank="1" showInputMessage="1" showErrorMessage="1" sqref="D158" xr:uid="{14FC1204-56B0-499F-8C5B-EFF84FAA674A}">
      <formula1>太陽熱_設備の種類</formula1>
    </dataValidation>
    <dataValidation type="list" allowBlank="1" showInputMessage="1" showErrorMessage="1" sqref="D159" xr:uid="{773F7E73-E99F-4486-982D-6B505D251834}">
      <formula1>太陽熱_給湯接続方式の種類_開放形太陽熱温水器</formula1>
    </dataValidation>
    <dataValidation type="list" allowBlank="1" showInputMessage="1" showErrorMessage="1" sqref="D160" xr:uid="{0738F19A-6697-4A5E-A994-08EE28B58BFC}">
      <formula1>太陽熱_給湯接続方式の種類_密閉形太陽熱温水器_直圧式</formula1>
    </dataValidation>
    <dataValidation type="list" allowBlank="1" showInputMessage="1" showErrorMessage="1" sqref="D161" xr:uid="{D7736643-30A1-4EE5-AB0E-43C3EF27CF05}">
      <formula1>太陽熱_給湯接続方式の種類_ソーラーシステム</formula1>
    </dataValidation>
    <dataValidation type="list" allowBlank="1" showInputMessage="1" showErrorMessage="1" sqref="D162" xr:uid="{3B2A1B51-7601-4DEC-A5C8-2C7026787E8E}">
      <formula1>太陽熱_太陽熱用水栓</formula1>
    </dataValidation>
    <dataValidation type="list" allowBlank="1" showInputMessage="1" showErrorMessage="1" sqref="D163" xr:uid="{C9EC73FC-495A-43BB-B9A7-4D0227A6F239}">
      <formula1>太陽熱_開放形太陽熱温水器の指定</formula1>
    </dataValidation>
    <dataValidation type="list" allowBlank="1" showInputMessage="1" showErrorMessage="1" sqref="D164" xr:uid="{961513AA-882F-4F60-AD66-A63442BE3E93}">
      <formula1>太陽熱_密閉形太陽熱温水器の指定</formula1>
    </dataValidation>
    <dataValidation type="list" allowBlank="1" showInputMessage="1" showErrorMessage="1" sqref="D165" xr:uid="{77025AA0-C1A5-4A20-9093-0DA83F92C117}">
      <formula1>太陽熱_ソーラーシステムの指定</formula1>
    </dataValidation>
    <dataValidation type="list" allowBlank="1" showInputMessage="1" showErrorMessage="1" sqref="D166" xr:uid="{3181AA2F-31BB-4E6B-8019-C223EE494DE3}">
      <formula1>太陽熱_集熱部総面積</formula1>
    </dataValidation>
    <dataValidation type="list" allowBlank="1" showInputMessage="1" showErrorMessage="1" sqref="D167" xr:uid="{3588EFB7-6E48-4E93-B617-880DAE40D63B}">
      <formula1>太陽熱_集熱部の設置方位角</formula1>
    </dataValidation>
    <dataValidation type="list" allowBlank="1" showInputMessage="1" showErrorMessage="1" sqref="D168" xr:uid="{5380F206-3A36-46FE-9A18-0C13B4D2519C}">
      <formula1>太陽熱_集熱部の設置傾斜角</formula1>
    </dataValidation>
    <dataValidation type="list" allowBlank="1" showInputMessage="1" showErrorMessage="1" sqref="D169" xr:uid="{76EBAFA2-CFB5-41A9-9D3A-02987A0F789D}">
      <formula1>太陽熱_貯湯量</formula1>
    </dataValidation>
    <dataValidation type="list" allowBlank="1" showInputMessage="1" showErrorMessage="1" sqref="D170" xr:uid="{FF4D939E-DDE9-4D8B-8E91-586E0AEEC2B3}">
      <formula1>太陽熱_蓄熱タンク容量</formula1>
    </dataValidation>
    <dataValidation type="list" allowBlank="1" showInputMessage="1" showErrorMessage="1" sqref="D171" xr:uid="{C4080245-5490-41A4-8B03-D913CAA5AD69}">
      <formula1>太陽熱_品番</formula1>
    </dataValidation>
    <dataValidation type="list" allowBlank="1" showInputMessage="1" showErrorMessage="1" sqref="D172" xr:uid="{35A69C28-A844-4318-8482-1C490EBDBBC8}">
      <formula1>太陽熱_集熱部効率係数_b0</formula1>
    </dataValidation>
    <dataValidation type="list" allowBlank="1" showInputMessage="1" showErrorMessage="1" sqref="D173" xr:uid="{CCFD9D92-C7D2-4E2B-A53F-605F214788AA}">
      <formula1>太陽熱_集熱部損失係数_b1</formula1>
    </dataValidation>
    <dataValidation type="list" allowBlank="1" showInputMessage="1" showErrorMessage="1" sqref="D174" xr:uid="{E4B14D0F-AF93-4797-BCED-224929235D1B}">
      <formula1>太陽熱_基準循環流量</formula1>
    </dataValidation>
    <dataValidation type="list" allowBlank="1" showInputMessage="1" showErrorMessage="1" sqref="D175" xr:uid="{67E52EC2-8413-4905-9362-1DA5E86D65EB}">
      <formula1>太陽熱_熱媒の定圧比熱</formula1>
    </dataValidation>
    <dataValidation type="list" allowBlank="1" showInputMessage="1" showErrorMessage="1" sqref="D176" xr:uid="{7FCB8A49-5486-4E85-986E-312508B7FEA3}">
      <formula1>太陽熱_集熱配管の線熱通過率</formula1>
    </dataValidation>
    <dataValidation type="list" allowBlank="1" showInputMessage="1" showErrorMessage="1" sqref="D177" xr:uid="{2E6534B0-E43C-45B2-9D09-76CA3F905964}">
      <formula1>太陽熱_熱交換器伝熱係数</formula1>
    </dataValidation>
    <dataValidation type="list" allowBlank="1" showInputMessage="1" showErrorMessage="1" sqref="D178" xr:uid="{04D8C455-2F26-471D-AE89-95A6BABEB687}">
      <formula1>太陽熱_循環ポンプ連続運転時電力</formula1>
    </dataValidation>
    <dataValidation type="list" allowBlank="1" showInputMessage="1" showErrorMessage="1" sqref="D179" xr:uid="{388F28BF-0262-4BA2-B2FC-31AD9B2AF77E}">
      <formula1>太陽熱_循環ポンプ集熱判定時電力</formula1>
    </dataValidation>
    <dataValidation type="list" allowBlank="1" showInputMessage="1" showErrorMessage="1" sqref="D180" xr:uid="{6F4BC220-7FE0-4965-8F4B-C469F82944AE}">
      <formula1>太陽熱_有効出湯効率</formula1>
    </dataValidation>
    <dataValidation type="list" allowBlank="1" showInputMessage="1" showErrorMessage="1" sqref="D181" xr:uid="{FE6B7482-4253-44CA-968E-2FBB5E759899}">
      <formula1>太陽熱_蓄熱槽熱損失係数</formula1>
    </dataValidation>
    <dataValidation type="list" allowBlank="1" showInputMessage="1" showErrorMessage="1" sqref="D182" xr:uid="{66573F32-44AD-4283-83CD-4E43FE70B2AD}">
      <formula1>太陽熱_空気集熱式太陽熱利用設備</formula1>
    </dataValidation>
    <dataValidation type="list" allowBlank="1" showInputMessage="1" showErrorMessage="1" sqref="D183" xr:uid="{7C77D56A-C668-4402-843D-92BC29A6EB0A}">
      <formula1>太陽熱_集熱器群の数</formula1>
    </dataValidation>
    <dataValidation type="list" allowBlank="1" showInputMessage="1" showErrorMessage="1" sqref="D184" xr:uid="{E5FE2215-C1F5-43C4-9DA0-C3B46A935AEA}">
      <formula1>太陽熱_集熱部の方位角</formula1>
    </dataValidation>
    <dataValidation type="list" allowBlank="1" showInputMessage="1" showErrorMessage="1" sqref="D185" xr:uid="{75FAF93E-CB7A-4041-A7CC-0E1FADBE8DCD}">
      <formula1>太陽熱_空気搬送ファンの自立運転用太陽光発電装置</formula1>
    </dataValidation>
    <dataValidation type="list" allowBlank="1" showInputMessage="1" showErrorMessage="1" sqref="D186" xr:uid="{EB5F50D2-527B-4C71-B809-DD0CB182A4EF}">
      <formula1>太陽熱_空気搬送ファンの種別</formula1>
    </dataValidation>
    <dataValidation type="list" allowBlank="1" showInputMessage="1" showErrorMessage="1" sqref="D187" xr:uid="{29F43DBE-5D25-4349-BC1D-1D522680A211}">
      <formula1>太陽熱_機外静圧をゼロとした時の空気搬送ファンの風量</formula1>
    </dataValidation>
    <dataValidation type="list" allowBlank="1" showInputMessage="1" showErrorMessage="1" sqref="D188" xr:uid="{870EFEA5-ABC4-4D5A-A4E7-50C47010CEEC}">
      <formula1>太陽熱_集熱した熱の給湯への利用</formula1>
    </dataValidation>
    <dataValidation type="list" allowBlank="1" showInputMessage="1" showErrorMessage="1" sqref="D189" xr:uid="{7CD64C89-4893-4A2B-80A0-68AD6045EDCC}">
      <formula1>太陽熱_循環ポンプの自立運転用太陽光発電装置</formula1>
    </dataValidation>
    <dataValidation type="list" allowBlank="1" showInputMessage="1" showErrorMessage="1" sqref="D190" xr:uid="{49171A32-1C76-4EE3-A966-72DFB39316E2}">
      <formula1>太陽熱_給湯部のタンク容量</formula1>
    </dataValidation>
    <dataValidation type="list" allowBlank="1" showInputMessage="1" showErrorMessage="1" sqref="D191" xr:uid="{4117FAF9-D4C7-431A-8490-7BD7D70DF116}">
      <formula1>太陽熱_集熱後の空気を供給する空間</formula1>
    </dataValidation>
    <dataValidation type="list" allowBlank="1" showInputMessage="1" showErrorMessage="1" sqref="D192" xr:uid="{7AFCA55E-7109-4513-BAE3-BC93E70D2FF9}">
      <formula1>太陽熱_集熱後の空気を供給する床下の面積の割合</formula1>
    </dataValidation>
    <dataValidation type="list" allowBlank="1" showInputMessage="1" showErrorMessage="1" sqref="D193" xr:uid="{BB538BB0-848A-4B9C-A688-6C5EF7FAE862}">
      <formula1>太陽熱_床下空間の断熱_太陽熱</formula1>
    </dataValidation>
    <dataValidation type="list" allowBlank="1" showInputMessage="1" showErrorMessage="1" sqref="D194" xr:uid="{A012E64F-AEEC-4571-8F0D-FA205507DB91}">
      <formula1>太陽熱_集熱器群の面積_集熱器群その1</formula1>
    </dataValidation>
    <dataValidation type="list" allowBlank="1" showInputMessage="1" showErrorMessage="1" sqref="D195" xr:uid="{89AB4748-0099-48C8-81C3-D7C1917019FE}">
      <formula1>太陽熱_集熱器群の傾斜角_集熱器群その1</formula1>
    </dataValidation>
    <dataValidation type="list" allowBlank="1" showInputMessage="1" showErrorMessage="1" sqref="D196" xr:uid="{3B8179B9-0E89-4397-BA1C-D790C6C00B87}">
      <formula1>太陽熱_集熱器群の仕様の入力_集熱器群その1</formula1>
    </dataValidation>
    <dataValidation type="list" allowBlank="1" showInputMessage="1" showErrorMessage="1" sqref="D197" xr:uid="{5FEBE256-6AC9-4836-A672-B18E93A8076D}">
      <formula1>太陽熱_集熱器の集熱効率特性線図一次近似式の切片_集熱器群その1</formula1>
    </dataValidation>
    <dataValidation type="list" allowBlank="1" showInputMessage="1" showErrorMessage="1" sqref="D198" xr:uid="{51802B44-C67A-4FF0-A221-4FCAC3A404B1}">
      <formula1>太陽熱_集熱器の集熱効率特性線図一次近似式の傾き_集熱器群その1</formula1>
    </dataValidation>
    <dataValidation type="list" allowBlank="1" showInputMessage="1" showErrorMessage="1" sqref="D199" xr:uid="{176D3FD9-165B-4BDB-9789-F072A183F862}">
      <formula1>太陽熱_集熱器の集熱性能試験時における単位面積当たりの空気の質量流量_集熱器群その1</formula1>
    </dataValidation>
    <dataValidation type="list" allowBlank="1" showInputMessage="1" showErrorMessage="1" sqref="D200" xr:uid="{4A4C6518-AE13-4AAD-A5EA-B5DF7A09B120}">
      <formula1>太陽熱_集熱器群の面積_集熱器群その2</formula1>
    </dataValidation>
    <dataValidation type="list" allowBlank="1" showInputMessage="1" showErrorMessage="1" sqref="D201" xr:uid="{8FCF6D33-8F68-4411-BE04-EFF208EB356D}">
      <formula1>太陽熱_集熱器群の傾斜角_集熱器群その2</formula1>
    </dataValidation>
    <dataValidation type="list" allowBlank="1" showInputMessage="1" showErrorMessage="1" sqref="D202" xr:uid="{554B93F2-15C1-406F-9D09-46F5456F7216}">
      <formula1>太陽熱_集熱器群の仕様の入力_集熱器群その2</formula1>
    </dataValidation>
    <dataValidation type="list" allowBlank="1" showInputMessage="1" showErrorMessage="1" sqref="D203" xr:uid="{D692E29A-885D-4B70-A3AE-D53500661AA2}">
      <formula1>太陽熱_集熱器の集熱効率特性線図一次近似式の切片_集熱器群その2</formula1>
    </dataValidation>
    <dataValidation type="list" allowBlank="1" showInputMessage="1" showErrorMessage="1" sqref="D204" xr:uid="{80962681-6A37-450B-9916-39E49F4A4C0D}">
      <formula1>太陽熱_集熱器の集熱効率特性線図一次近似式の傾き_集熱器群その2</formula1>
    </dataValidation>
    <dataValidation type="list" allowBlank="1" showInputMessage="1" showErrorMessage="1" sqref="D205" xr:uid="{9A31148F-7984-4133-8DCE-F600A4FC3E97}">
      <formula1>太陽熱_集熱器の集熱性能試験時における単位面積当たりの空気の質量流量_集熱器群その2</formula1>
    </dataValidation>
    <dataValidation type="list" allowBlank="1" showInputMessage="1" showErrorMessage="1" sqref="D206" xr:uid="{10207FB7-297C-4075-8193-99C0A55CA386}">
      <formula1>太陽熱_集熱器群の面積_集熱器群その3</formula1>
    </dataValidation>
    <dataValidation type="list" allowBlank="1" showInputMessage="1" showErrorMessage="1" sqref="D207" xr:uid="{0A6C97A1-7E3E-472A-AC9D-B08FAC01E590}">
      <formula1>太陽熱_集熱器群の傾斜角_集熱器群その3</formula1>
    </dataValidation>
    <dataValidation type="list" allowBlank="1" showInputMessage="1" showErrorMessage="1" sqref="D208" xr:uid="{C3F78658-3530-4E8C-BD56-29FF4483F00A}">
      <formula1>太陽熱_集熱器群の仕様の入力_集熱器群その3</formula1>
    </dataValidation>
    <dataValidation type="list" allowBlank="1" showInputMessage="1" showErrorMessage="1" sqref="D209" xr:uid="{FF930335-83D9-4983-8FD0-2084B511E491}">
      <formula1>太陽熱_集熱器の集熱効率特性線図一次近似式の切片_集熱器群その3</formula1>
    </dataValidation>
    <dataValidation type="list" allowBlank="1" showInputMessage="1" showErrorMessage="1" sqref="D210" xr:uid="{D67FF93E-D5D2-4713-955E-E3BBA2DEA226}">
      <formula1>太陽熱_集熱器の集熱効率特性線図一次近似式の傾き_集熱器群その3</formula1>
    </dataValidation>
    <dataValidation type="list" allowBlank="1" showInputMessage="1" showErrorMessage="1" sqref="D211" xr:uid="{4B7903FA-ED64-4CBB-8F72-F6B7469E803E}">
      <formula1>太陽熱_集熱器の集熱性能試験時における単位面積当たりの空気の質量流量_集熱器群その3</formula1>
    </dataValidation>
    <dataValidation type="list" allowBlank="1" showInputMessage="1" showErrorMessage="1" sqref="D212" xr:uid="{75564365-8F55-402D-BCAA-B87C7EF9E730}">
      <formula1>コージュネ_コージェネレーション設備</formula1>
    </dataValidation>
    <dataValidation type="list" allowBlank="1" showInputMessage="1" showErrorMessage="1" sqref="D213" xr:uid="{2402D03B-2A35-408C-8986-FD138ED25980}">
      <formula1>コージュネ_コージェネレーション機器の指定</formula1>
    </dataValidation>
    <dataValidation type="list" allowBlank="1" showInputMessage="1" showErrorMessage="1" sqref="D214" xr:uid="{62773715-36F1-4083-BFD6-E3DFBCA3435C}">
      <formula1>コージュネ_コージェネレーションの種類</formula1>
    </dataValidation>
    <dataValidation type="list" allowBlank="1" showInputMessage="1" showErrorMessage="1" sqref="D215" xr:uid="{08A92458-D72B-419F-88B5-50EF56C82CB9}">
      <formula1>コージュネ_コージェネレーションの区分</formula1>
    </dataValidation>
    <dataValidation type="list" allowBlank="1" showInputMessage="1" showErrorMessage="1" sqref="D216" xr:uid="{25D7B391-320C-435E-A45F-3569FCA7C98F}">
      <formula1>コージュネ_逆潮流の評価</formula1>
    </dataValidation>
    <dataValidation type="list" allowBlank="1" showInputMessage="1" showErrorMessage="1" sqref="D217" xr:uid="{A57FDB74-6DDB-4CE2-93C3-DC9DE0E10DC7}">
      <formula1>コージュネ_品番_メーカ名_品番等の一部</formula1>
    </dataValidation>
    <dataValidation type="list" allowBlank="1" showInputMessage="1" showErrorMessage="1" sqref="D218" xr:uid="{ADB5FBCC-B1CE-4459-9A11-AA82D5873468}">
      <formula1>コージュネ_PUの発電量推定時の仮想発電量_係数a_PU_小数点以下4桁</formula1>
    </dataValidation>
    <dataValidation type="list" allowBlank="1" showInputMessage="1" showErrorMessage="1" sqref="D219" xr:uid="{26613A39-480D-4F3B-A6EA-07A27D0BBA04}">
      <formula1>コージュネ_PUの発電量推定時の仮想発電量_係数a_DHW_小数点以下4桁</formula1>
    </dataValidation>
    <dataValidation type="list" allowBlank="1" showInputMessage="1" showErrorMessage="1" sqref="D220" xr:uid="{8FC9E9E3-A472-46C9-BA5F-9F8D31A5AFBC}">
      <formula1>コージュネ_PUの発電量推定時の仮想発電量_係数a_HWH_小数点以下4桁</formula1>
    </dataValidation>
    <dataValidation type="list" allowBlank="1" showInputMessage="1" showErrorMessage="1" sqref="D221" xr:uid="{FFCCAD28-A814-47AD-9083-D410C1E33151}">
      <formula1>コージュネ_PUの発電量推定時の仮想発電量_係数b_小数点以下4桁</formula1>
    </dataValidation>
    <dataValidation type="list" allowBlank="1" showInputMessage="1" showErrorMessage="1" sqref="D222" xr:uid="{E09D7731-A58F-4446-87CA-95992254AB50}">
      <formula1>コージュネ_PUの発電量推定時の仮想発電量_係数c_小数点以下4桁</formula1>
    </dataValidation>
    <dataValidation type="list" allowBlank="1" showInputMessage="1" showErrorMessage="1" sqref="D223" xr:uid="{619D5EEA-AB79-40D7-8B74-B46B00BE1366}">
      <formula1>コージュネ_PUの排熱量推定時の仮想燃料消費量_係数a_DHW_小数点以下4桁</formula1>
    </dataValidation>
    <dataValidation type="list" allowBlank="1" showInputMessage="1" showErrorMessage="1" sqref="D224" xr:uid="{F474FB89-3D34-4C86-9D30-DE0FD3CC935C}">
      <formula1>コージュネ_PUの排熱量推定時の仮想燃料消費量_係数a_HWH_小数点以下4桁</formula1>
    </dataValidation>
    <dataValidation type="list" allowBlank="1" showInputMessage="1" showErrorMessage="1" sqref="D225" xr:uid="{7D5167EB-7A8C-49BE-A121-C54615327311}">
      <formula1>コージュネ_PUの排熱量推定時の仮想排熱量上限比_係数a_DHW_小数点以下4桁</formula1>
    </dataValidation>
    <dataValidation type="list" allowBlank="1" showInputMessage="1" showErrorMessage="1" sqref="D226" xr:uid="{A48A2A47-EF9D-4845-9F0F-7A19AB5057F5}">
      <formula1>コージュネ_PUの排熱量推定時の仮想排熱量上限比_係数a_HWH_小数点以下4桁</formula1>
    </dataValidation>
    <dataValidation type="list" allowBlank="1" showInputMessage="1" showErrorMessage="1" sqref="D227" xr:uid="{459A5036-91D4-4458-82F4-50C7A9F5DEBC}">
      <formula1>コージュネ_PUの排熱量推定時の仮想排熱量上限比_係数b_小数点以下4桁</formula1>
    </dataValidation>
    <dataValidation type="list" allowBlank="1" showInputMessage="1" showErrorMessage="1" sqref="D228" xr:uid="{87684E70-721D-4F13-B34C-A0C616A69983}">
      <formula1>コージュネ_PUの日平均発電効率_係数a_PU_小数点以下6桁</formula1>
    </dataValidation>
    <dataValidation type="list" allowBlank="1" showInputMessage="1" showErrorMessage="1" sqref="D229" xr:uid="{694BE8DE-D2B0-4BEF-899A-4025A782A7D9}">
      <formula1>コージュネ_PUの日平均発電効率_係数a_DHW_小数点以下6桁</formula1>
    </dataValidation>
    <dataValidation type="list" allowBlank="1" showInputMessage="1" showErrorMessage="1" sqref="D230" xr:uid="{B5EC7062-548D-4702-ACAB-B9AA5BB46775}">
      <formula1>コージュネ_PUの日平均発電効率_係数a_HWH_小数点以下6桁</formula1>
    </dataValidation>
    <dataValidation type="list" allowBlank="1" showInputMessage="1" showErrorMessage="1" sqref="D231" xr:uid="{8B2C384D-CD2B-461E-94F3-25A390A71E6C}">
      <formula1>コージュネ_PUの日平均発電効率_係数b_小数点以下4桁</formula1>
    </dataValidation>
    <dataValidation type="list" allowBlank="1" showInputMessage="1" showErrorMessage="1" sqref="D232" xr:uid="{6B0EE727-CCB4-451E-BDED-17D2D6419EBE}">
      <formula1>コージュネ_PUの日平均発電効率_上限値_小数点以下4桁</formula1>
    </dataValidation>
    <dataValidation type="list" allowBlank="1" showInputMessage="1" showErrorMessage="1" sqref="D233" xr:uid="{2A9D11FE-C325-401A-85D6-2CC5F31DC125}">
      <formula1>コージュネ_PUの日平均発電効率_下限値_小数点以下4桁</formula1>
    </dataValidation>
    <dataValidation type="list" allowBlank="1" showInputMessage="1" showErrorMessage="1" sqref="D234" xr:uid="{0AA4B828-65EA-4002-9887-7CF5B0CEB111}">
      <formula1>コージュネ_PUの日平均排熱効率_係数a_PU_小数点以下6桁</formula1>
    </dataValidation>
    <dataValidation type="list" allowBlank="1" showInputMessage="1" showErrorMessage="1" sqref="D235" xr:uid="{1A659098-52E7-455F-9135-22109E4BEFD5}">
      <formula1>コージュネ_PUの日平均排熱効率_係数a_DHW_小数点以下6桁</formula1>
    </dataValidation>
    <dataValidation type="list" allowBlank="1" showInputMessage="1" showErrorMessage="1" sqref="D236" xr:uid="{A5DA8213-0C2C-4A0E-91BD-FD2CDA9FCFE0}">
      <formula1>コージュネ_PUの日平均排熱効率_係数a_HWH_小数点以下6桁</formula1>
    </dataValidation>
    <dataValidation type="list" allowBlank="1" showInputMessage="1" showErrorMessage="1" sqref="D237" xr:uid="{81CED7CC-62BF-474C-B44C-CAF16FC38F15}">
      <formula1>コージュネ_PUの日平均排熱効率_係数b_小数点以下4桁</formula1>
    </dataValidation>
    <dataValidation type="list" allowBlank="1" showInputMessage="1" showErrorMessage="1" sqref="D238" xr:uid="{8519E35E-DA3C-4D96-A30E-AF21321BA364}">
      <formula1>コージュネ_PUの日平均排熱効率_上限値_小数点以下4桁</formula1>
    </dataValidation>
    <dataValidation type="list" allowBlank="1" showInputMessage="1" showErrorMessage="1" sqref="D239" xr:uid="{DB1212B3-4239-4B10-B41E-D3391031BB92}">
      <formula1>コージュネ_PUの日平均排熱効率_下限値_小数点以下4桁</formula1>
    </dataValidation>
    <dataValidation type="list" allowBlank="1" showInputMessage="1" showErrorMessage="1" sqref="D240" xr:uid="{5C88A357-8A30-41B1-B8A2-095D41ABCB21}">
      <formula1>コージュネ_バックアップボイラーの種類</formula1>
    </dataValidation>
    <dataValidation type="list" allowBlank="1" showInputMessage="1" showErrorMessage="1" sqref="D241:D242" xr:uid="{8CD10396-B17F-411F-9271-428BF5846818}">
      <formula1>コージュネ_温水暖房への排熱利用</formula1>
    </dataValidation>
    <dataValidation type="list" allowBlank="1" showInputMessage="1" showErrorMessage="1" sqref="D243" xr:uid="{529DDF05-748F-4A2D-8ADD-DFB21BFB3A6A}">
      <formula1>コージュネ_PUの給湯排熱利用率</formula1>
    </dataValidation>
    <dataValidation type="list" allowBlank="1" showInputMessage="1" showErrorMessage="1" sqref="D244" xr:uid="{97D35682-BECE-4A8C-9661-748A9C3FA7C9}">
      <formula1>コージュネ_TUの補機消費電力</formula1>
    </dataValidation>
    <dataValidation type="list" allowBlank="1" showInputMessage="1" showErrorMessage="1" sqref="D245" xr:uid="{BEC87295-7D01-4CFF-9F2E-8D8994B94C79}">
      <formula1>コージュネ_定格発電出力</formula1>
    </dataValidation>
    <dataValidation type="list" allowBlank="1" showInputMessage="1" showErrorMessage="1" sqref="D246" xr:uid="{1B62F713-9A3E-4431-BB40-152E5719C10C}">
      <formula1>コージュネ_逆潮流</formula1>
    </dataValidation>
  </dataValidations>
  <pageMargins left="0.7" right="0.7" top="0.75" bottom="0.75" header="0.3" footer="0.3"/>
  <ignoredErrors>
    <ignoredError sqref="D16:D17 D19" numberStoredAsText="1"/>
  </ignoredErrors>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7AC87-6B90-4D28-A557-78D16649D210}">
  <sheetPr codeName="Sheet29"/>
  <dimension ref="A1:M636"/>
  <sheetViews>
    <sheetView tabSelected="1" topLeftCell="A8" workbookViewId="0">
      <selection activeCell="D20" sqref="D20"/>
    </sheetView>
  </sheetViews>
  <sheetFormatPr defaultRowHeight="12.75" x14ac:dyDescent="0.4"/>
  <cols>
    <col min="1" max="1" width="6" style="74" bestFit="1" customWidth="1"/>
    <col min="2" max="2" width="8.375" style="75" bestFit="1" customWidth="1"/>
    <col min="3" max="3" width="7.875" style="76" bestFit="1" customWidth="1"/>
    <col min="4" max="4" width="57.125" style="36" bestFit="1" customWidth="1"/>
    <col min="5" max="5" width="9.25" style="36" bestFit="1" customWidth="1"/>
    <col min="6" max="6" width="28.875" style="36" bestFit="1" customWidth="1"/>
    <col min="7" max="7" width="25.125" style="36" bestFit="1" customWidth="1"/>
    <col min="8" max="8" width="34.125" style="123" bestFit="1" customWidth="1"/>
    <col min="9" max="9" width="87.375" style="36" bestFit="1" customWidth="1"/>
    <col min="10" max="10" width="90.75" style="36" bestFit="1" customWidth="1"/>
    <col min="11" max="12" width="66.5" style="36" customWidth="1"/>
    <col min="13" max="13" width="62.5" style="36" bestFit="1" customWidth="1"/>
    <col min="14" max="16384" width="9" style="36"/>
  </cols>
  <sheetData>
    <row r="1" spans="1:12" x14ac:dyDescent="0.4">
      <c r="A1" s="102" t="s">
        <v>97</v>
      </c>
      <c r="B1" s="103" t="s">
        <v>577</v>
      </c>
      <c r="C1" s="104" t="s">
        <v>125</v>
      </c>
      <c r="D1" s="103" t="s">
        <v>962</v>
      </c>
      <c r="E1" s="35" t="s">
        <v>1657</v>
      </c>
      <c r="F1" s="35" t="s">
        <v>1493</v>
      </c>
      <c r="G1" s="35" t="s">
        <v>1490</v>
      </c>
      <c r="H1" s="114" t="s">
        <v>1530</v>
      </c>
      <c r="I1" s="35" t="s">
        <v>1529</v>
      </c>
      <c r="J1" s="35" t="s">
        <v>963</v>
      </c>
      <c r="K1" s="35" t="s">
        <v>1413</v>
      </c>
      <c r="L1" s="35" t="s">
        <v>1450</v>
      </c>
    </row>
    <row r="2" spans="1:12" s="41" customFormat="1" x14ac:dyDescent="0.4">
      <c r="A2" s="37" t="s">
        <v>1712</v>
      </c>
      <c r="B2" s="38" t="s">
        <v>721</v>
      </c>
      <c r="C2" s="39">
        <v>1</v>
      </c>
      <c r="D2" s="40" t="s">
        <v>545</v>
      </c>
      <c r="E2" s="40" t="s">
        <v>1491</v>
      </c>
      <c r="F2" s="40"/>
      <c r="G2" s="40" t="s">
        <v>1058</v>
      </c>
      <c r="H2" s="115" t="str">
        <f>I2</f>
        <v>○○○○邸</v>
      </c>
      <c r="I2" s="40" t="s">
        <v>2</v>
      </c>
      <c r="J2" s="101" t="str">
        <f>A2&amp;"_"&amp;H2</f>
        <v>KHN01_○○○○邸</v>
      </c>
      <c r="K2" s="40"/>
      <c r="L2" s="40"/>
    </row>
    <row r="3" spans="1:12" s="41" customFormat="1" x14ac:dyDescent="0.4">
      <c r="A3" s="37" t="s">
        <v>1713</v>
      </c>
      <c r="B3" s="38" t="s">
        <v>721</v>
      </c>
      <c r="C3" s="42">
        <v>1</v>
      </c>
      <c r="D3" s="40" t="s">
        <v>0</v>
      </c>
      <c r="E3" s="40" t="s">
        <v>1491</v>
      </c>
      <c r="F3" s="40"/>
      <c r="G3" s="40" t="s">
        <v>585</v>
      </c>
      <c r="H3" s="115" t="str">
        <f t="shared" ref="H3:H16" si="0">I3</f>
        <v>三菱太郎</v>
      </c>
      <c r="I3" s="40" t="s">
        <v>10</v>
      </c>
      <c r="J3" s="40" t="str">
        <f t="shared" ref="J3:J64" si="1">A3&amp;"_"&amp;H3</f>
        <v>KHN02_三菱太郎</v>
      </c>
      <c r="K3" s="40"/>
      <c r="L3" s="40"/>
    </row>
    <row r="4" spans="1:12" s="41" customFormat="1" x14ac:dyDescent="0.4">
      <c r="A4" s="37" t="s">
        <v>1714</v>
      </c>
      <c r="B4" s="38" t="s">
        <v>721</v>
      </c>
      <c r="C4" s="42">
        <v>1</v>
      </c>
      <c r="D4" s="38" t="s">
        <v>546</v>
      </c>
      <c r="E4" s="38" t="s">
        <v>1491</v>
      </c>
      <c r="F4" s="38"/>
      <c r="G4" s="38" t="s">
        <v>1492</v>
      </c>
      <c r="H4" s="116" t="s">
        <v>1071</v>
      </c>
      <c r="I4" s="38" t="s">
        <v>5</v>
      </c>
      <c r="J4" s="38" t="str">
        <f t="shared" si="1"/>
        <v>KHN03_Standard,Independent</v>
      </c>
      <c r="K4" s="38"/>
      <c r="L4" s="38"/>
    </row>
    <row r="5" spans="1:12" s="41" customFormat="1" x14ac:dyDescent="0.4">
      <c r="A5" s="37" t="s">
        <v>1714</v>
      </c>
      <c r="B5" s="38" t="s">
        <v>721</v>
      </c>
      <c r="C5" s="42">
        <v>1</v>
      </c>
      <c r="D5" s="40"/>
      <c r="E5" s="40" t="s">
        <v>1491</v>
      </c>
      <c r="F5" s="40"/>
      <c r="G5" s="40" t="s">
        <v>1492</v>
      </c>
      <c r="H5" s="115" t="s">
        <v>1494</v>
      </c>
      <c r="I5" s="40" t="s">
        <v>87</v>
      </c>
      <c r="J5" s="40" t="str">
        <f t="shared" si="1"/>
        <v>KHN03_Standard,Apartment</v>
      </c>
      <c r="K5" s="40"/>
      <c r="L5" s="40"/>
    </row>
    <row r="6" spans="1:12" s="41" customFormat="1" x14ac:dyDescent="0.4">
      <c r="A6" s="37" t="s">
        <v>1715</v>
      </c>
      <c r="B6" s="38" t="s">
        <v>721</v>
      </c>
      <c r="C6" s="42">
        <v>1</v>
      </c>
      <c r="D6" s="38" t="s">
        <v>1</v>
      </c>
      <c r="E6" s="38" t="s">
        <v>1491</v>
      </c>
      <c r="F6" s="38"/>
      <c r="G6" s="38" t="s">
        <v>1532</v>
      </c>
      <c r="H6" s="116" t="s">
        <v>582</v>
      </c>
      <c r="I6" s="38" t="s">
        <v>3</v>
      </c>
      <c r="J6" s="38" t="str">
        <f t="shared" si="1"/>
        <v>KHN05_EntireDwellingUnit</v>
      </c>
      <c r="K6" s="38" t="s">
        <v>123</v>
      </c>
      <c r="L6" s="38"/>
    </row>
    <row r="7" spans="1:12" s="41" customFormat="1" x14ac:dyDescent="0.4">
      <c r="A7" s="37" t="s">
        <v>1715</v>
      </c>
      <c r="B7" s="38" t="s">
        <v>721</v>
      </c>
      <c r="C7" s="42">
        <v>1</v>
      </c>
      <c r="D7" s="40"/>
      <c r="E7" s="40" t="s">
        <v>1491</v>
      </c>
      <c r="F7" s="40"/>
      <c r="G7" s="40" t="s">
        <v>1072</v>
      </c>
      <c r="H7" s="115" t="s">
        <v>583</v>
      </c>
      <c r="I7" s="40" t="s">
        <v>4</v>
      </c>
      <c r="J7" s="40" t="str">
        <f t="shared" si="1"/>
        <v>KHN05_RenovationPart</v>
      </c>
      <c r="K7" s="40" t="s">
        <v>123</v>
      </c>
      <c r="L7" s="40" t="s">
        <v>1520</v>
      </c>
    </row>
    <row r="8" spans="1:12" s="41" customFormat="1" x14ac:dyDescent="0.4">
      <c r="A8" s="37" t="s">
        <v>1716</v>
      </c>
      <c r="B8" s="38" t="s">
        <v>721</v>
      </c>
      <c r="C8" s="42">
        <v>1</v>
      </c>
      <c r="D8" s="38" t="s">
        <v>6</v>
      </c>
      <c r="E8" s="142" t="s">
        <v>1732</v>
      </c>
      <c r="F8" s="142" t="s">
        <v>1729</v>
      </c>
      <c r="G8" s="38" t="s">
        <v>1492</v>
      </c>
      <c r="H8" s="116" t="s">
        <v>1726</v>
      </c>
      <c r="I8" s="79" t="s">
        <v>1495</v>
      </c>
      <c r="J8" s="38" t="str">
        <f t="shared" si="1"/>
        <v>KHN07_LDK</v>
      </c>
      <c r="K8" s="38" t="s">
        <v>1521</v>
      </c>
      <c r="L8" s="38" t="s">
        <v>1522</v>
      </c>
    </row>
    <row r="9" spans="1:12" s="41" customFormat="1" x14ac:dyDescent="0.4">
      <c r="A9" s="37" t="s">
        <v>1716</v>
      </c>
      <c r="B9" s="38" t="s">
        <v>721</v>
      </c>
      <c r="C9" s="42">
        <v>1</v>
      </c>
      <c r="D9" s="40"/>
      <c r="E9" s="143" t="s">
        <v>1732</v>
      </c>
      <c r="F9" s="143" t="s">
        <v>1731</v>
      </c>
      <c r="G9" s="40" t="s">
        <v>1492</v>
      </c>
      <c r="H9" s="115" t="s">
        <v>1727</v>
      </c>
      <c r="I9" s="80" t="s">
        <v>12</v>
      </c>
      <c r="J9" s="40" t="str">
        <f t="shared" si="1"/>
        <v>KHN07_Other</v>
      </c>
      <c r="K9" s="40" t="s">
        <v>1521</v>
      </c>
      <c r="L9" s="40"/>
    </row>
    <row r="10" spans="1:12" s="41" customFormat="1" x14ac:dyDescent="0.4">
      <c r="A10" s="37" t="s">
        <v>1717</v>
      </c>
      <c r="B10" s="38" t="s">
        <v>721</v>
      </c>
      <c r="C10" s="42">
        <v>1</v>
      </c>
      <c r="D10" s="38" t="s">
        <v>578</v>
      </c>
      <c r="E10" s="38"/>
      <c r="F10" s="38"/>
      <c r="G10" s="38"/>
      <c r="H10" s="116" t="b">
        <v>1</v>
      </c>
      <c r="I10" s="79" t="s">
        <v>115</v>
      </c>
      <c r="J10" s="38" t="str">
        <f t="shared" si="1"/>
        <v>KHN09_TRUE</v>
      </c>
      <c r="K10" s="38" t="s">
        <v>1523</v>
      </c>
      <c r="L10" s="38"/>
    </row>
    <row r="11" spans="1:12" s="41" customFormat="1" x14ac:dyDescent="0.4">
      <c r="A11" s="37" t="s">
        <v>1717</v>
      </c>
      <c r="B11" s="38" t="s">
        <v>721</v>
      </c>
      <c r="C11" s="42">
        <v>1</v>
      </c>
      <c r="D11" s="40"/>
      <c r="E11" s="40"/>
      <c r="F11" s="40"/>
      <c r="G11" s="40"/>
      <c r="H11" s="115" t="b">
        <v>0</v>
      </c>
      <c r="I11" s="80" t="s">
        <v>116</v>
      </c>
      <c r="J11" s="40" t="str">
        <f t="shared" si="1"/>
        <v>KHN09_FALSE</v>
      </c>
      <c r="K11" s="40" t="s">
        <v>1523</v>
      </c>
      <c r="L11" s="40" t="s">
        <v>1524</v>
      </c>
    </row>
    <row r="12" spans="1:12" s="41" customFormat="1" x14ac:dyDescent="0.4">
      <c r="A12" s="37" t="s">
        <v>1718</v>
      </c>
      <c r="B12" s="38" t="s">
        <v>721</v>
      </c>
      <c r="C12" s="42">
        <v>1</v>
      </c>
      <c r="D12" s="38" t="s">
        <v>579</v>
      </c>
      <c r="E12" s="38"/>
      <c r="F12" s="38"/>
      <c r="G12" s="38"/>
      <c r="H12" s="116" t="b">
        <v>1</v>
      </c>
      <c r="I12" s="79" t="s">
        <v>117</v>
      </c>
      <c r="J12" s="38" t="str">
        <f t="shared" si="1"/>
        <v>KHN11_TRUE</v>
      </c>
      <c r="K12" s="38"/>
      <c r="L12" s="38"/>
    </row>
    <row r="13" spans="1:12" s="41" customFormat="1" x14ac:dyDescent="0.4">
      <c r="A13" s="37" t="s">
        <v>1718</v>
      </c>
      <c r="B13" s="38" t="s">
        <v>721</v>
      </c>
      <c r="C13" s="42">
        <v>1</v>
      </c>
      <c r="D13" s="40"/>
      <c r="E13" s="40"/>
      <c r="F13" s="40"/>
      <c r="G13" s="40"/>
      <c r="H13" s="115" t="b">
        <v>0</v>
      </c>
      <c r="I13" s="80" t="s">
        <v>118</v>
      </c>
      <c r="J13" s="40" t="str">
        <f t="shared" si="1"/>
        <v>KHN11_FALSE</v>
      </c>
      <c r="K13" s="40"/>
      <c r="L13" s="40"/>
    </row>
    <row r="14" spans="1:12" s="41" customFormat="1" x14ac:dyDescent="0.4">
      <c r="A14" s="37" t="s">
        <v>1719</v>
      </c>
      <c r="B14" s="38" t="s">
        <v>721</v>
      </c>
      <c r="C14" s="42">
        <v>1</v>
      </c>
      <c r="D14" s="43" t="s">
        <v>749</v>
      </c>
      <c r="E14" s="144" t="s">
        <v>1658</v>
      </c>
      <c r="F14" s="144" t="s">
        <v>1728</v>
      </c>
      <c r="G14" s="43" t="s">
        <v>1496</v>
      </c>
      <c r="H14" s="117">
        <f t="shared" si="0"/>
        <v>29.81</v>
      </c>
      <c r="I14" s="43">
        <v>29.81</v>
      </c>
      <c r="J14" s="38" t="str">
        <f>A14&amp;"_"&amp;H14</f>
        <v>KHN13_29.81</v>
      </c>
      <c r="K14" s="38"/>
      <c r="L14" s="38"/>
    </row>
    <row r="15" spans="1:12" s="41" customFormat="1" x14ac:dyDescent="0.4">
      <c r="A15" s="37" t="s">
        <v>1720</v>
      </c>
      <c r="B15" s="38" t="s">
        <v>721</v>
      </c>
      <c r="C15" s="42">
        <v>1</v>
      </c>
      <c r="D15" s="40" t="s">
        <v>750</v>
      </c>
      <c r="E15" s="143" t="s">
        <v>1658</v>
      </c>
      <c r="F15" s="143" t="s">
        <v>1730</v>
      </c>
      <c r="G15" s="40" t="s">
        <v>1496</v>
      </c>
      <c r="H15" s="115">
        <f t="shared" si="0"/>
        <v>51.34</v>
      </c>
      <c r="I15" s="40">
        <v>51.34</v>
      </c>
      <c r="J15" s="38" t="str">
        <f t="shared" si="1"/>
        <v>KHN14_51.34</v>
      </c>
      <c r="K15" s="38"/>
      <c r="L15" s="38"/>
    </row>
    <row r="16" spans="1:12" s="41" customFormat="1" x14ac:dyDescent="0.4">
      <c r="A16" s="37" t="s">
        <v>1721</v>
      </c>
      <c r="B16" s="38" t="s">
        <v>721</v>
      </c>
      <c r="C16" s="42">
        <v>1</v>
      </c>
      <c r="D16" s="40" t="s">
        <v>751</v>
      </c>
      <c r="E16" s="40" t="s">
        <v>1491</v>
      </c>
      <c r="F16" s="40"/>
      <c r="G16" s="40" t="s">
        <v>1078</v>
      </c>
      <c r="H16" s="115">
        <f t="shared" si="0"/>
        <v>120.08</v>
      </c>
      <c r="I16" s="40">
        <v>120.08</v>
      </c>
      <c r="J16" s="40" t="str">
        <f t="shared" si="1"/>
        <v>KHN15_120.08</v>
      </c>
      <c r="K16" s="40"/>
      <c r="L16" s="40"/>
    </row>
    <row r="17" spans="1:12" s="41" customFormat="1" x14ac:dyDescent="0.4">
      <c r="A17" s="37" t="s">
        <v>1722</v>
      </c>
      <c r="B17" s="38" t="s">
        <v>721</v>
      </c>
      <c r="C17" s="42">
        <v>1</v>
      </c>
      <c r="D17" s="38" t="s">
        <v>7</v>
      </c>
      <c r="E17" s="38" t="s">
        <v>1659</v>
      </c>
      <c r="F17" s="38"/>
      <c r="G17" s="38" t="s">
        <v>1660</v>
      </c>
      <c r="H17" s="116">
        <v>1</v>
      </c>
      <c r="I17" s="38" t="s">
        <v>13</v>
      </c>
      <c r="J17" s="38" t="str">
        <f t="shared" si="1"/>
        <v>KHN16_1</v>
      </c>
      <c r="K17" s="38"/>
      <c r="L17" s="38"/>
    </row>
    <row r="18" spans="1:12" s="41" customFormat="1" x14ac:dyDescent="0.4">
      <c r="A18" s="37" t="s">
        <v>1722</v>
      </c>
      <c r="B18" s="38" t="s">
        <v>721</v>
      </c>
      <c r="C18" s="42">
        <v>1</v>
      </c>
      <c r="D18" s="38"/>
      <c r="E18" s="38" t="s">
        <v>1659</v>
      </c>
      <c r="F18" s="38"/>
      <c r="G18" s="38" t="s">
        <v>1660</v>
      </c>
      <c r="H18" s="116">
        <v>2</v>
      </c>
      <c r="I18" s="38" t="s">
        <v>14</v>
      </c>
      <c r="J18" s="38" t="str">
        <f t="shared" si="1"/>
        <v>KHN16_2</v>
      </c>
      <c r="K18" s="38"/>
      <c r="L18" s="38"/>
    </row>
    <row r="19" spans="1:12" s="41" customFormat="1" x14ac:dyDescent="0.4">
      <c r="A19" s="37" t="s">
        <v>1722</v>
      </c>
      <c r="B19" s="38" t="s">
        <v>721</v>
      </c>
      <c r="C19" s="42">
        <v>1</v>
      </c>
      <c r="D19" s="38"/>
      <c r="E19" s="38" t="s">
        <v>1659</v>
      </c>
      <c r="F19" s="38"/>
      <c r="G19" s="38" t="s">
        <v>1660</v>
      </c>
      <c r="H19" s="116">
        <v>3</v>
      </c>
      <c r="I19" s="38" t="s">
        <v>15</v>
      </c>
      <c r="J19" s="38" t="str">
        <f t="shared" si="1"/>
        <v>KHN16_3</v>
      </c>
      <c r="K19" s="38"/>
      <c r="L19" s="38"/>
    </row>
    <row r="20" spans="1:12" s="41" customFormat="1" x14ac:dyDescent="0.4">
      <c r="A20" s="37" t="s">
        <v>1722</v>
      </c>
      <c r="B20" s="38" t="s">
        <v>721</v>
      </c>
      <c r="C20" s="42">
        <v>1</v>
      </c>
      <c r="D20" s="38"/>
      <c r="E20" s="38" t="s">
        <v>1659</v>
      </c>
      <c r="F20" s="38"/>
      <c r="G20" s="38" t="s">
        <v>1660</v>
      </c>
      <c r="H20" s="116">
        <v>4</v>
      </c>
      <c r="I20" s="38" t="s">
        <v>16</v>
      </c>
      <c r="J20" s="38" t="str">
        <f t="shared" si="1"/>
        <v>KHN16_4</v>
      </c>
      <c r="K20" s="38"/>
      <c r="L20" s="38"/>
    </row>
    <row r="21" spans="1:12" s="41" customFormat="1" x14ac:dyDescent="0.4">
      <c r="A21" s="37" t="s">
        <v>1722</v>
      </c>
      <c r="B21" s="38" t="s">
        <v>721</v>
      </c>
      <c r="C21" s="42">
        <v>1</v>
      </c>
      <c r="D21" s="38"/>
      <c r="E21" s="38" t="s">
        <v>1659</v>
      </c>
      <c r="F21" s="38"/>
      <c r="G21" s="38" t="s">
        <v>1660</v>
      </c>
      <c r="H21" s="116">
        <v>5</v>
      </c>
      <c r="I21" s="38" t="s">
        <v>17</v>
      </c>
      <c r="J21" s="38" t="str">
        <f t="shared" si="1"/>
        <v>KHN16_5</v>
      </c>
      <c r="K21" s="38"/>
      <c r="L21" s="38"/>
    </row>
    <row r="22" spans="1:12" s="41" customFormat="1" x14ac:dyDescent="0.4">
      <c r="A22" s="37" t="s">
        <v>1722</v>
      </c>
      <c r="B22" s="38" t="s">
        <v>721</v>
      </c>
      <c r="C22" s="42">
        <v>1</v>
      </c>
      <c r="D22" s="38"/>
      <c r="E22" s="38" t="s">
        <v>1659</v>
      </c>
      <c r="F22" s="38"/>
      <c r="G22" s="38" t="s">
        <v>1660</v>
      </c>
      <c r="H22" s="116">
        <v>6</v>
      </c>
      <c r="I22" s="38" t="s">
        <v>18</v>
      </c>
      <c r="J22" s="38" t="str">
        <f t="shared" si="1"/>
        <v>KHN16_6</v>
      </c>
      <c r="K22" s="38"/>
      <c r="L22" s="38"/>
    </row>
    <row r="23" spans="1:12" s="41" customFormat="1" x14ac:dyDescent="0.4">
      <c r="A23" s="37" t="s">
        <v>1722</v>
      </c>
      <c r="B23" s="38" t="s">
        <v>721</v>
      </c>
      <c r="C23" s="42">
        <v>1</v>
      </c>
      <c r="D23" s="38"/>
      <c r="E23" s="38" t="s">
        <v>1659</v>
      </c>
      <c r="F23" s="38"/>
      <c r="G23" s="38" t="s">
        <v>1660</v>
      </c>
      <c r="H23" s="116">
        <v>7</v>
      </c>
      <c r="I23" s="38" t="s">
        <v>19</v>
      </c>
      <c r="J23" s="38" t="str">
        <f t="shared" si="1"/>
        <v>KHN16_7</v>
      </c>
      <c r="K23" s="38"/>
      <c r="L23" s="38"/>
    </row>
    <row r="24" spans="1:12" s="41" customFormat="1" x14ac:dyDescent="0.4">
      <c r="A24" s="37" t="s">
        <v>1722</v>
      </c>
      <c r="B24" s="38" t="s">
        <v>721</v>
      </c>
      <c r="C24" s="42">
        <v>1</v>
      </c>
      <c r="D24" s="40"/>
      <c r="E24" s="40" t="s">
        <v>1659</v>
      </c>
      <c r="F24" s="40"/>
      <c r="G24" s="40" t="s">
        <v>1660</v>
      </c>
      <c r="H24" s="115">
        <v>8</v>
      </c>
      <c r="I24" s="40" t="s">
        <v>20</v>
      </c>
      <c r="J24" s="40" t="str">
        <f t="shared" si="1"/>
        <v>KHN16_8</v>
      </c>
      <c r="K24" s="40"/>
      <c r="L24" s="40"/>
    </row>
    <row r="25" spans="1:12" s="41" customFormat="1" x14ac:dyDescent="0.4">
      <c r="A25" s="37" t="s">
        <v>1723</v>
      </c>
      <c r="B25" s="38" t="s">
        <v>721</v>
      </c>
      <c r="C25" s="42">
        <v>1</v>
      </c>
      <c r="D25" s="38" t="s">
        <v>8</v>
      </c>
      <c r="E25" s="38"/>
      <c r="F25" s="38"/>
      <c r="G25" s="38"/>
      <c r="H25" s="116" t="b">
        <v>1</v>
      </c>
      <c r="I25" s="38" t="s">
        <v>112</v>
      </c>
      <c r="J25" s="38" t="str">
        <f t="shared" si="1"/>
        <v>KHN24_TRUE</v>
      </c>
      <c r="K25" s="38" t="s">
        <v>113</v>
      </c>
      <c r="L25" s="38" t="s">
        <v>1538</v>
      </c>
    </row>
    <row r="26" spans="1:12" s="41" customFormat="1" x14ac:dyDescent="0.4">
      <c r="A26" s="37" t="s">
        <v>1723</v>
      </c>
      <c r="B26" s="38" t="s">
        <v>721</v>
      </c>
      <c r="C26" s="42">
        <v>1</v>
      </c>
      <c r="D26" s="40"/>
      <c r="E26" s="40"/>
      <c r="F26" s="40"/>
      <c r="G26" s="40"/>
      <c r="H26" s="115" t="b">
        <v>0</v>
      </c>
      <c r="I26" s="40" t="s">
        <v>27</v>
      </c>
      <c r="J26" s="40" t="str">
        <f t="shared" si="1"/>
        <v>KHN24_FALSE</v>
      </c>
      <c r="K26" s="40" t="s">
        <v>113</v>
      </c>
      <c r="L26" s="40"/>
    </row>
    <row r="27" spans="1:12" s="41" customFormat="1" x14ac:dyDescent="0.4">
      <c r="A27" s="37" t="s">
        <v>1724</v>
      </c>
      <c r="B27" s="38" t="s">
        <v>721</v>
      </c>
      <c r="C27" s="42">
        <v>1</v>
      </c>
      <c r="D27" s="38" t="s">
        <v>9</v>
      </c>
      <c r="E27" s="38" t="s">
        <v>1659</v>
      </c>
      <c r="F27" s="38"/>
      <c r="G27" s="38" t="s">
        <v>1661</v>
      </c>
      <c r="H27" s="116" t="s">
        <v>1533</v>
      </c>
      <c r="I27" s="38" t="s">
        <v>964</v>
      </c>
      <c r="J27" s="38" t="str">
        <f t="shared" si="1"/>
        <v>KHN26_A1</v>
      </c>
      <c r="K27" s="38"/>
      <c r="L27" s="38"/>
    </row>
    <row r="28" spans="1:12" s="41" customFormat="1" x14ac:dyDescent="0.4">
      <c r="A28" s="37" t="s">
        <v>1724</v>
      </c>
      <c r="B28" s="38" t="s">
        <v>721</v>
      </c>
      <c r="C28" s="42">
        <v>1</v>
      </c>
      <c r="D28" s="38"/>
      <c r="E28" s="38" t="s">
        <v>1659</v>
      </c>
      <c r="F28" s="38"/>
      <c r="G28" s="38" t="s">
        <v>1661</v>
      </c>
      <c r="H28" s="116" t="s">
        <v>1534</v>
      </c>
      <c r="I28" s="38" t="s">
        <v>965</v>
      </c>
      <c r="J28" s="38" t="str">
        <f t="shared" si="1"/>
        <v>KHN26_A2</v>
      </c>
      <c r="K28" s="38"/>
      <c r="L28" s="38"/>
    </row>
    <row r="29" spans="1:12" s="41" customFormat="1" x14ac:dyDescent="0.4">
      <c r="A29" s="37" t="s">
        <v>1724</v>
      </c>
      <c r="B29" s="38" t="s">
        <v>721</v>
      </c>
      <c r="C29" s="42">
        <v>1</v>
      </c>
      <c r="D29" s="38"/>
      <c r="E29" s="38" t="s">
        <v>1659</v>
      </c>
      <c r="F29" s="38"/>
      <c r="G29" s="38" t="s">
        <v>1661</v>
      </c>
      <c r="H29" s="116" t="s">
        <v>1535</v>
      </c>
      <c r="I29" s="38" t="s">
        <v>966</v>
      </c>
      <c r="J29" s="38" t="str">
        <f t="shared" si="1"/>
        <v>KHN26_A3</v>
      </c>
      <c r="K29" s="38"/>
      <c r="L29" s="38"/>
    </row>
    <row r="30" spans="1:12" s="41" customFormat="1" x14ac:dyDescent="0.4">
      <c r="A30" s="37" t="s">
        <v>1724</v>
      </c>
      <c r="B30" s="38" t="s">
        <v>721</v>
      </c>
      <c r="C30" s="42">
        <v>1</v>
      </c>
      <c r="D30" s="38"/>
      <c r="E30" s="38" t="s">
        <v>1659</v>
      </c>
      <c r="F30" s="38"/>
      <c r="G30" s="38" t="s">
        <v>1661</v>
      </c>
      <c r="H30" s="116" t="s">
        <v>1536</v>
      </c>
      <c r="I30" s="38" t="s">
        <v>967</v>
      </c>
      <c r="J30" s="38" t="str">
        <f t="shared" si="1"/>
        <v>KHN26_A4</v>
      </c>
      <c r="K30" s="38"/>
      <c r="L30" s="38"/>
    </row>
    <row r="31" spans="1:12" s="41" customFormat="1" x14ac:dyDescent="0.4">
      <c r="A31" s="44" t="s">
        <v>1724</v>
      </c>
      <c r="B31" s="40" t="s">
        <v>721</v>
      </c>
      <c r="C31" s="45">
        <v>1</v>
      </c>
      <c r="D31" s="40"/>
      <c r="E31" s="38" t="s">
        <v>1659</v>
      </c>
      <c r="F31" s="38"/>
      <c r="G31" s="38" t="s">
        <v>1661</v>
      </c>
      <c r="H31" s="116" t="s">
        <v>1537</v>
      </c>
      <c r="I31" s="40" t="s">
        <v>968</v>
      </c>
      <c r="J31" s="40" t="str">
        <f t="shared" si="1"/>
        <v>KHN26_A5</v>
      </c>
      <c r="K31" s="40"/>
      <c r="L31" s="40"/>
    </row>
    <row r="32" spans="1:12" x14ac:dyDescent="0.4">
      <c r="A32" s="37" t="s">
        <v>1698</v>
      </c>
      <c r="B32" s="46" t="s">
        <v>28</v>
      </c>
      <c r="C32" s="47">
        <v>1</v>
      </c>
      <c r="D32" s="48" t="s">
        <v>752</v>
      </c>
      <c r="E32" s="46" t="s">
        <v>1510</v>
      </c>
      <c r="F32" s="46"/>
      <c r="G32" s="46" t="s">
        <v>1072</v>
      </c>
      <c r="H32" s="118" t="s">
        <v>1085</v>
      </c>
      <c r="I32" s="48" t="s">
        <v>34</v>
      </c>
      <c r="J32" s="48" t="str">
        <f t="shared" si="1"/>
        <v>GH01_Real</v>
      </c>
      <c r="K32" s="48" t="s">
        <v>1541</v>
      </c>
      <c r="L32" s="48"/>
    </row>
    <row r="33" spans="1:12" x14ac:dyDescent="0.4">
      <c r="A33" s="37" t="s">
        <v>1698</v>
      </c>
      <c r="B33" s="48" t="s">
        <v>28</v>
      </c>
      <c r="C33" s="49">
        <v>1</v>
      </c>
      <c r="D33" s="48"/>
      <c r="E33" s="48" t="s">
        <v>1510</v>
      </c>
      <c r="F33" s="48"/>
      <c r="G33" s="48" t="s">
        <v>1072</v>
      </c>
      <c r="H33" s="119" t="s">
        <v>1506</v>
      </c>
      <c r="I33" s="48" t="s">
        <v>35</v>
      </c>
      <c r="J33" s="48" t="str">
        <f t="shared" si="1"/>
        <v>GH01_SpecStandard</v>
      </c>
      <c r="K33" s="48" t="s">
        <v>1541</v>
      </c>
      <c r="L33" s="48" t="s">
        <v>1542</v>
      </c>
    </row>
    <row r="34" spans="1:12" x14ac:dyDescent="0.4">
      <c r="A34" s="37" t="s">
        <v>1698</v>
      </c>
      <c r="B34" s="48" t="s">
        <v>28</v>
      </c>
      <c r="C34" s="49">
        <v>1</v>
      </c>
      <c r="D34" s="48"/>
      <c r="E34" s="48" t="s">
        <v>1510</v>
      </c>
      <c r="F34" s="48"/>
      <c r="G34" s="48" t="s">
        <v>1072</v>
      </c>
      <c r="H34" s="119" t="s">
        <v>1507</v>
      </c>
      <c r="I34" s="48" t="s">
        <v>969</v>
      </c>
      <c r="J34" s="48" t="str">
        <f t="shared" si="1"/>
        <v>GH01_IndcSpecStandard</v>
      </c>
      <c r="K34" s="48" t="s">
        <v>1541</v>
      </c>
      <c r="L34" s="48" t="s">
        <v>1542</v>
      </c>
    </row>
    <row r="35" spans="1:12" x14ac:dyDescent="0.4">
      <c r="A35" s="37" t="s">
        <v>1698</v>
      </c>
      <c r="B35" s="50" t="s">
        <v>28</v>
      </c>
      <c r="C35" s="51">
        <v>1</v>
      </c>
      <c r="D35" s="50"/>
      <c r="E35" s="50" t="s">
        <v>1510</v>
      </c>
      <c r="F35" s="50"/>
      <c r="G35" s="50" t="s">
        <v>1072</v>
      </c>
      <c r="H35" s="120" t="s">
        <v>1508</v>
      </c>
      <c r="I35" s="50" t="s">
        <v>970</v>
      </c>
      <c r="J35" s="50" t="str">
        <f t="shared" si="1"/>
        <v>GH01_IndcSpecStandardForRenovationPart</v>
      </c>
      <c r="K35" s="50" t="s">
        <v>1541</v>
      </c>
      <c r="L35" s="50" t="s">
        <v>142</v>
      </c>
    </row>
    <row r="36" spans="1:12" x14ac:dyDescent="0.4">
      <c r="A36" s="37" t="s">
        <v>1699</v>
      </c>
      <c r="B36" s="48" t="s">
        <v>28</v>
      </c>
      <c r="C36" s="49">
        <v>2</v>
      </c>
      <c r="D36" s="52" t="s">
        <v>38</v>
      </c>
      <c r="E36" s="52" t="s">
        <v>1510</v>
      </c>
      <c r="F36" s="52"/>
      <c r="G36" s="52" t="s">
        <v>1086</v>
      </c>
      <c r="H36" s="121" t="str">
        <f t="shared" ref="H36:H42" si="2">I36</f>
        <v>307.51</v>
      </c>
      <c r="I36" s="53" t="s">
        <v>164</v>
      </c>
      <c r="J36" s="53" t="str">
        <f t="shared" si="1"/>
        <v>GH05_307.51</v>
      </c>
      <c r="K36" s="54"/>
      <c r="L36" s="54"/>
    </row>
    <row r="37" spans="1:12" x14ac:dyDescent="0.4">
      <c r="A37" s="37" t="s">
        <v>1700</v>
      </c>
      <c r="B37" s="48" t="s">
        <v>28</v>
      </c>
      <c r="C37" s="49">
        <v>2</v>
      </c>
      <c r="D37" s="48" t="s">
        <v>715</v>
      </c>
      <c r="E37" s="48" t="s">
        <v>1510</v>
      </c>
      <c r="F37" s="48"/>
      <c r="G37" s="48" t="s">
        <v>1088</v>
      </c>
      <c r="H37" s="119" t="str">
        <f t="shared" si="2"/>
        <v>0.87</v>
      </c>
      <c r="I37" s="54" t="s">
        <v>162</v>
      </c>
      <c r="J37" s="54" t="str">
        <f t="shared" si="1"/>
        <v>GH06_0.87</v>
      </c>
      <c r="K37" s="54"/>
      <c r="L37" s="54"/>
    </row>
    <row r="38" spans="1:12" x14ac:dyDescent="0.4">
      <c r="A38" s="37" t="s">
        <v>1700</v>
      </c>
      <c r="B38" s="48" t="s">
        <v>28</v>
      </c>
      <c r="C38" s="49">
        <v>2</v>
      </c>
      <c r="D38" s="50"/>
      <c r="E38" s="50" t="s">
        <v>1510</v>
      </c>
      <c r="F38" s="50"/>
      <c r="G38" s="50" t="s">
        <v>1088</v>
      </c>
      <c r="H38" s="120" t="str">
        <f t="shared" si="2"/>
        <v>0.60</v>
      </c>
      <c r="I38" s="55" t="s">
        <v>160</v>
      </c>
      <c r="J38" s="55" t="str">
        <f t="shared" si="1"/>
        <v>GH06_0.60</v>
      </c>
      <c r="K38" s="54"/>
      <c r="L38" s="54"/>
    </row>
    <row r="39" spans="1:12" x14ac:dyDescent="0.4">
      <c r="A39" s="37" t="s">
        <v>1701</v>
      </c>
      <c r="B39" s="48" t="s">
        <v>28</v>
      </c>
      <c r="C39" s="49">
        <v>2</v>
      </c>
      <c r="D39" s="48" t="s">
        <v>716</v>
      </c>
      <c r="E39" s="48" t="s">
        <v>1510</v>
      </c>
      <c r="F39" s="48"/>
      <c r="G39" s="48" t="s">
        <v>1090</v>
      </c>
      <c r="H39" s="119" t="str">
        <f t="shared" si="2"/>
        <v>2.8</v>
      </c>
      <c r="I39" s="54" t="s">
        <v>166</v>
      </c>
      <c r="J39" s="54" t="str">
        <f t="shared" si="1"/>
        <v>GH08_2.8</v>
      </c>
      <c r="K39" s="54"/>
      <c r="L39" s="54"/>
    </row>
    <row r="40" spans="1:12" x14ac:dyDescent="0.4">
      <c r="A40" s="37" t="s">
        <v>1701</v>
      </c>
      <c r="B40" s="48" t="s">
        <v>28</v>
      </c>
      <c r="C40" s="49">
        <v>2</v>
      </c>
      <c r="D40" s="50"/>
      <c r="E40" s="50" t="s">
        <v>1510</v>
      </c>
      <c r="F40" s="50"/>
      <c r="G40" s="50" t="s">
        <v>1090</v>
      </c>
      <c r="H40" s="120" t="str">
        <f t="shared" si="2"/>
        <v>1.7</v>
      </c>
      <c r="I40" s="55" t="s">
        <v>168</v>
      </c>
      <c r="J40" s="55" t="str">
        <f t="shared" si="1"/>
        <v>GH08_1.7</v>
      </c>
      <c r="K40" s="54"/>
      <c r="L40" s="54"/>
    </row>
    <row r="41" spans="1:12" x14ac:dyDescent="0.4">
      <c r="A41" s="37" t="s">
        <v>1702</v>
      </c>
      <c r="B41" s="48" t="s">
        <v>28</v>
      </c>
      <c r="C41" s="49">
        <v>2</v>
      </c>
      <c r="D41" s="48" t="s">
        <v>717</v>
      </c>
      <c r="E41" s="48" t="s">
        <v>1510</v>
      </c>
      <c r="F41" s="48"/>
      <c r="G41" s="48" t="s">
        <v>1091</v>
      </c>
      <c r="H41" s="119" t="str">
        <f t="shared" si="2"/>
        <v>4.3</v>
      </c>
      <c r="I41" s="54" t="s">
        <v>170</v>
      </c>
      <c r="J41" s="54" t="str">
        <f t="shared" si="1"/>
        <v>GH10_4.3</v>
      </c>
      <c r="K41" s="54"/>
      <c r="L41" s="54"/>
    </row>
    <row r="42" spans="1:12" x14ac:dyDescent="0.4">
      <c r="A42" s="37" t="s">
        <v>1702</v>
      </c>
      <c r="B42" s="50" t="s">
        <v>28</v>
      </c>
      <c r="C42" s="51">
        <v>2</v>
      </c>
      <c r="D42" s="50"/>
      <c r="E42" s="50" t="s">
        <v>1510</v>
      </c>
      <c r="F42" s="50"/>
      <c r="G42" s="50" t="s">
        <v>1091</v>
      </c>
      <c r="H42" s="120" t="str">
        <f t="shared" si="2"/>
        <v>3.0</v>
      </c>
      <c r="I42" s="55" t="s">
        <v>158</v>
      </c>
      <c r="J42" s="55" t="str">
        <f t="shared" si="1"/>
        <v>GH10_3.0</v>
      </c>
      <c r="K42" s="55"/>
      <c r="L42" s="55"/>
    </row>
    <row r="43" spans="1:12" x14ac:dyDescent="0.4">
      <c r="A43" s="37" t="s">
        <v>1703</v>
      </c>
      <c r="B43" s="48" t="s">
        <v>28</v>
      </c>
      <c r="C43" s="49">
        <v>3</v>
      </c>
      <c r="D43" s="48" t="s">
        <v>718</v>
      </c>
      <c r="E43" s="142" t="s">
        <v>1658</v>
      </c>
      <c r="F43" s="142" t="s">
        <v>1729</v>
      </c>
      <c r="G43" s="48" t="s">
        <v>1511</v>
      </c>
      <c r="H43" s="119">
        <v>0</v>
      </c>
      <c r="I43" s="48" t="s">
        <v>40</v>
      </c>
      <c r="J43" s="48" t="str">
        <f t="shared" si="1"/>
        <v>GH12_0</v>
      </c>
      <c r="K43" s="48"/>
      <c r="L43" s="48"/>
    </row>
    <row r="44" spans="1:12" x14ac:dyDescent="0.4">
      <c r="A44" s="37" t="s">
        <v>1703</v>
      </c>
      <c r="B44" s="48" t="s">
        <v>28</v>
      </c>
      <c r="C44" s="49">
        <v>3</v>
      </c>
      <c r="D44" s="48"/>
      <c r="E44" s="142" t="s">
        <v>1658</v>
      </c>
      <c r="F44" s="142" t="s">
        <v>1728</v>
      </c>
      <c r="G44" s="48" t="s">
        <v>1511</v>
      </c>
      <c r="H44" s="119">
        <v>5</v>
      </c>
      <c r="I44" s="48" t="s">
        <v>971</v>
      </c>
      <c r="J44" s="48" t="str">
        <f t="shared" si="1"/>
        <v>GH12_5</v>
      </c>
      <c r="K44" s="48"/>
      <c r="L44" s="48"/>
    </row>
    <row r="45" spans="1:12" x14ac:dyDescent="0.4">
      <c r="A45" s="37" t="s">
        <v>1703</v>
      </c>
      <c r="B45" s="48" t="s">
        <v>28</v>
      </c>
      <c r="C45" s="49">
        <v>3</v>
      </c>
      <c r="D45" s="50"/>
      <c r="E45" s="143" t="s">
        <v>1658</v>
      </c>
      <c r="F45" s="143" t="s">
        <v>1728</v>
      </c>
      <c r="G45" s="50" t="s">
        <v>1511</v>
      </c>
      <c r="H45" s="120">
        <v>20</v>
      </c>
      <c r="I45" s="50" t="s">
        <v>972</v>
      </c>
      <c r="J45" s="48" t="str">
        <f t="shared" si="1"/>
        <v>GH12_20</v>
      </c>
      <c r="K45" s="48"/>
      <c r="L45" s="48"/>
    </row>
    <row r="46" spans="1:12" x14ac:dyDescent="0.4">
      <c r="A46" s="37" t="s">
        <v>1704</v>
      </c>
      <c r="B46" s="48" t="s">
        <v>28</v>
      </c>
      <c r="C46" s="49">
        <v>3</v>
      </c>
      <c r="D46" s="48" t="s">
        <v>719</v>
      </c>
      <c r="E46" s="142" t="s">
        <v>1658</v>
      </c>
      <c r="F46" s="142" t="s">
        <v>1731</v>
      </c>
      <c r="G46" s="48" t="s">
        <v>1511</v>
      </c>
      <c r="H46" s="119">
        <v>0</v>
      </c>
      <c r="I46" s="48" t="s">
        <v>40</v>
      </c>
      <c r="J46" s="46" t="str">
        <f t="shared" si="1"/>
        <v>GH15_0</v>
      </c>
      <c r="K46" s="48"/>
      <c r="L46" s="48"/>
    </row>
    <row r="47" spans="1:12" x14ac:dyDescent="0.4">
      <c r="A47" s="37" t="s">
        <v>1704</v>
      </c>
      <c r="B47" s="48" t="s">
        <v>28</v>
      </c>
      <c r="C47" s="49">
        <v>3</v>
      </c>
      <c r="D47" s="48"/>
      <c r="E47" s="142" t="s">
        <v>1658</v>
      </c>
      <c r="F47" s="142" t="s">
        <v>1730</v>
      </c>
      <c r="G47" s="48" t="s">
        <v>1511</v>
      </c>
      <c r="H47" s="119">
        <v>5</v>
      </c>
      <c r="I47" s="48" t="s">
        <v>971</v>
      </c>
      <c r="J47" s="48" t="str">
        <f t="shared" si="1"/>
        <v>GH15_5</v>
      </c>
      <c r="K47" s="48"/>
      <c r="L47" s="48"/>
    </row>
    <row r="48" spans="1:12" x14ac:dyDescent="0.4">
      <c r="A48" s="37" t="s">
        <v>1704</v>
      </c>
      <c r="B48" s="50" t="s">
        <v>28</v>
      </c>
      <c r="C48" s="51">
        <v>3</v>
      </c>
      <c r="D48" s="50"/>
      <c r="E48" s="143" t="s">
        <v>1658</v>
      </c>
      <c r="F48" s="143" t="s">
        <v>1730</v>
      </c>
      <c r="G48" s="50" t="s">
        <v>1511</v>
      </c>
      <c r="H48" s="120">
        <v>20</v>
      </c>
      <c r="I48" s="50" t="s">
        <v>972</v>
      </c>
      <c r="J48" s="50" t="str">
        <f t="shared" si="1"/>
        <v>GH15_20</v>
      </c>
      <c r="K48" s="50"/>
      <c r="L48" s="50"/>
    </row>
    <row r="49" spans="1:12" x14ac:dyDescent="0.4">
      <c r="A49" s="37" t="s">
        <v>1705</v>
      </c>
      <c r="B49" s="48" t="s">
        <v>28</v>
      </c>
      <c r="C49" s="49">
        <v>4</v>
      </c>
      <c r="D49" s="48" t="s">
        <v>1097</v>
      </c>
      <c r="E49" s="48" t="s">
        <v>1510</v>
      </c>
      <c r="F49" s="48"/>
      <c r="G49" s="48" t="s">
        <v>1509</v>
      </c>
      <c r="H49" s="119" t="s">
        <v>1509</v>
      </c>
      <c r="I49" s="48" t="s">
        <v>40</v>
      </c>
      <c r="J49" s="48" t="str">
        <f t="shared" si="1"/>
        <v>GH18_HeatStorage</v>
      </c>
      <c r="K49" s="48"/>
      <c r="L49" s="48"/>
    </row>
    <row r="50" spans="1:12" x14ac:dyDescent="0.4">
      <c r="A50" s="37" t="s">
        <v>1705</v>
      </c>
      <c r="B50" s="50" t="s">
        <v>28</v>
      </c>
      <c r="C50" s="51">
        <v>4</v>
      </c>
      <c r="D50" s="50"/>
      <c r="E50" s="50" t="s">
        <v>1510</v>
      </c>
      <c r="F50" s="50"/>
      <c r="G50" s="50" t="s">
        <v>1509</v>
      </c>
      <c r="H50" s="120" t="s">
        <v>1098</v>
      </c>
      <c r="I50" s="50" t="s">
        <v>41</v>
      </c>
      <c r="J50" s="50" t="str">
        <f t="shared" si="1"/>
        <v>GH18_None</v>
      </c>
      <c r="K50" s="50"/>
      <c r="L50" s="50"/>
    </row>
    <row r="51" spans="1:12" x14ac:dyDescent="0.4">
      <c r="A51" s="37" t="s">
        <v>1706</v>
      </c>
      <c r="B51" s="48" t="s">
        <v>28</v>
      </c>
      <c r="C51" s="49">
        <v>5</v>
      </c>
      <c r="D51" s="48" t="s">
        <v>33</v>
      </c>
      <c r="E51" s="48" t="s">
        <v>1510</v>
      </c>
      <c r="F51" s="48"/>
      <c r="G51" s="48" t="s">
        <v>1512</v>
      </c>
      <c r="H51" s="119" t="s">
        <v>1513</v>
      </c>
      <c r="I51" s="48" t="s">
        <v>40</v>
      </c>
      <c r="J51" s="48" t="str">
        <f t="shared" si="1"/>
        <v>GH20_AlwaysOn</v>
      </c>
      <c r="K51" s="48" t="s">
        <v>1543</v>
      </c>
      <c r="L51" s="48"/>
    </row>
    <row r="52" spans="1:12" x14ac:dyDescent="0.4">
      <c r="A52" s="37" t="s">
        <v>1706</v>
      </c>
      <c r="B52" s="48" t="s">
        <v>28</v>
      </c>
      <c r="C52" s="49">
        <v>5</v>
      </c>
      <c r="D52" s="50"/>
      <c r="E52" s="50" t="s">
        <v>1510</v>
      </c>
      <c r="F52" s="50"/>
      <c r="G52" s="50" t="s">
        <v>1512</v>
      </c>
      <c r="H52" s="120" t="s">
        <v>1098</v>
      </c>
      <c r="I52" s="50" t="s">
        <v>43</v>
      </c>
      <c r="J52" s="50" t="str">
        <f t="shared" si="1"/>
        <v>GH20_None</v>
      </c>
      <c r="K52" s="50" t="s">
        <v>1543</v>
      </c>
      <c r="L52" s="50" t="s">
        <v>1543</v>
      </c>
    </row>
    <row r="53" spans="1:12" x14ac:dyDescent="0.4">
      <c r="A53" s="37" t="s">
        <v>1707</v>
      </c>
      <c r="B53" s="48" t="s">
        <v>28</v>
      </c>
      <c r="C53" s="49">
        <v>5</v>
      </c>
      <c r="D53" s="48" t="s">
        <v>621</v>
      </c>
      <c r="E53" s="48" t="s">
        <v>1510</v>
      </c>
      <c r="F53" s="48"/>
      <c r="G53" s="48" t="s">
        <v>1514</v>
      </c>
      <c r="H53" s="119">
        <v>10</v>
      </c>
      <c r="I53" s="56">
        <v>10</v>
      </c>
      <c r="J53" s="56" t="str">
        <f t="shared" si="1"/>
        <v>GH22_10</v>
      </c>
      <c r="K53" s="56"/>
      <c r="L53" s="56"/>
    </row>
    <row r="54" spans="1:12" x14ac:dyDescent="0.4">
      <c r="A54" s="37" t="s">
        <v>1707</v>
      </c>
      <c r="B54" s="48" t="s">
        <v>28</v>
      </c>
      <c r="C54" s="49">
        <v>5</v>
      </c>
      <c r="D54" s="48"/>
      <c r="E54" s="48" t="s">
        <v>1510</v>
      </c>
      <c r="F54" s="48"/>
      <c r="G54" s="48" t="s">
        <v>1514</v>
      </c>
      <c r="H54" s="119">
        <v>20</v>
      </c>
      <c r="I54" s="56">
        <v>20</v>
      </c>
      <c r="J54" s="56" t="str">
        <f t="shared" si="1"/>
        <v>GH22_20</v>
      </c>
      <c r="K54" s="56"/>
      <c r="L54" s="56"/>
    </row>
    <row r="55" spans="1:12" x14ac:dyDescent="0.4">
      <c r="A55" s="37" t="s">
        <v>1707</v>
      </c>
      <c r="B55" s="48" t="s">
        <v>28</v>
      </c>
      <c r="C55" s="49">
        <v>5</v>
      </c>
      <c r="D55" s="48"/>
      <c r="E55" s="48" t="s">
        <v>1510</v>
      </c>
      <c r="F55" s="48"/>
      <c r="G55" s="48" t="s">
        <v>1514</v>
      </c>
      <c r="H55" s="119">
        <v>30</v>
      </c>
      <c r="I55" s="56">
        <v>30</v>
      </c>
      <c r="J55" s="56" t="str">
        <f t="shared" si="1"/>
        <v>GH22_30</v>
      </c>
      <c r="K55" s="56"/>
      <c r="L55" s="56"/>
    </row>
    <row r="56" spans="1:12" x14ac:dyDescent="0.4">
      <c r="A56" s="37" t="s">
        <v>1707</v>
      </c>
      <c r="B56" s="48" t="s">
        <v>28</v>
      </c>
      <c r="C56" s="49">
        <v>5</v>
      </c>
      <c r="D56" s="48"/>
      <c r="E56" s="48" t="s">
        <v>1510</v>
      </c>
      <c r="F56" s="48"/>
      <c r="G56" s="48" t="s">
        <v>1514</v>
      </c>
      <c r="H56" s="119">
        <v>40</v>
      </c>
      <c r="I56" s="56">
        <v>40</v>
      </c>
      <c r="J56" s="56" t="str">
        <f t="shared" si="1"/>
        <v>GH22_40</v>
      </c>
      <c r="K56" s="56"/>
      <c r="L56" s="56"/>
    </row>
    <row r="57" spans="1:12" x14ac:dyDescent="0.4">
      <c r="A57" s="37" t="s">
        <v>1707</v>
      </c>
      <c r="B57" s="48" t="s">
        <v>28</v>
      </c>
      <c r="C57" s="49">
        <v>5</v>
      </c>
      <c r="D57" s="48"/>
      <c r="E57" s="48" t="s">
        <v>1510</v>
      </c>
      <c r="F57" s="48"/>
      <c r="G57" s="48" t="s">
        <v>1514</v>
      </c>
      <c r="H57" s="119">
        <v>50</v>
      </c>
      <c r="I57" s="56">
        <v>50</v>
      </c>
      <c r="J57" s="56" t="str">
        <f t="shared" si="1"/>
        <v>GH22_50</v>
      </c>
      <c r="K57" s="56"/>
      <c r="L57" s="56"/>
    </row>
    <row r="58" spans="1:12" x14ac:dyDescent="0.4">
      <c r="A58" s="37" t="s">
        <v>1707</v>
      </c>
      <c r="B58" s="48" t="s">
        <v>28</v>
      </c>
      <c r="C58" s="49">
        <v>5</v>
      </c>
      <c r="D58" s="48"/>
      <c r="E58" s="48" t="s">
        <v>1510</v>
      </c>
      <c r="F58" s="48"/>
      <c r="G58" s="48" t="s">
        <v>1514</v>
      </c>
      <c r="H58" s="119">
        <v>60</v>
      </c>
      <c r="I58" s="56">
        <v>60</v>
      </c>
      <c r="J58" s="56" t="str">
        <f t="shared" si="1"/>
        <v>GH22_60</v>
      </c>
      <c r="K58" s="56"/>
      <c r="L58" s="56"/>
    </row>
    <row r="59" spans="1:12" x14ac:dyDescent="0.4">
      <c r="A59" s="37" t="s">
        <v>1707</v>
      </c>
      <c r="B59" s="48" t="s">
        <v>28</v>
      </c>
      <c r="C59" s="49">
        <v>5</v>
      </c>
      <c r="D59" s="48"/>
      <c r="E59" s="48" t="s">
        <v>1510</v>
      </c>
      <c r="F59" s="48"/>
      <c r="G59" s="48" t="s">
        <v>1514</v>
      </c>
      <c r="H59" s="119">
        <v>70</v>
      </c>
      <c r="I59" s="56">
        <v>70</v>
      </c>
      <c r="J59" s="56" t="str">
        <f t="shared" si="1"/>
        <v>GH22_70</v>
      </c>
      <c r="K59" s="56"/>
      <c r="L59" s="56"/>
    </row>
    <row r="60" spans="1:12" x14ac:dyDescent="0.4">
      <c r="A60" s="37" t="s">
        <v>1707</v>
      </c>
      <c r="B60" s="48" t="s">
        <v>28</v>
      </c>
      <c r="C60" s="49">
        <v>5</v>
      </c>
      <c r="D60" s="48"/>
      <c r="E60" s="48" t="s">
        <v>1510</v>
      </c>
      <c r="F60" s="48"/>
      <c r="G60" s="48" t="s">
        <v>1514</v>
      </c>
      <c r="H60" s="119">
        <v>80</v>
      </c>
      <c r="I60" s="56">
        <v>80</v>
      </c>
      <c r="J60" s="56" t="str">
        <f t="shared" si="1"/>
        <v>GH22_80</v>
      </c>
      <c r="K60" s="56"/>
      <c r="L60" s="56"/>
    </row>
    <row r="61" spans="1:12" x14ac:dyDescent="0.4">
      <c r="A61" s="37" t="s">
        <v>1707</v>
      </c>
      <c r="B61" s="48" t="s">
        <v>28</v>
      </c>
      <c r="C61" s="49">
        <v>5</v>
      </c>
      <c r="D61" s="48"/>
      <c r="E61" s="48" t="s">
        <v>1510</v>
      </c>
      <c r="F61" s="48"/>
      <c r="G61" s="48" t="s">
        <v>1514</v>
      </c>
      <c r="H61" s="119">
        <v>90</v>
      </c>
      <c r="I61" s="56">
        <v>90</v>
      </c>
      <c r="J61" s="56" t="str">
        <f t="shared" si="1"/>
        <v>GH22_90</v>
      </c>
      <c r="K61" s="56"/>
      <c r="L61" s="56"/>
    </row>
    <row r="62" spans="1:12" x14ac:dyDescent="0.4">
      <c r="A62" s="37" t="s">
        <v>1707</v>
      </c>
      <c r="B62" s="48" t="s">
        <v>28</v>
      </c>
      <c r="C62" s="49">
        <v>5</v>
      </c>
      <c r="D62" s="50"/>
      <c r="E62" s="50" t="s">
        <v>1510</v>
      </c>
      <c r="F62" s="50"/>
      <c r="G62" s="50" t="s">
        <v>1514</v>
      </c>
      <c r="H62" s="120">
        <v>100</v>
      </c>
      <c r="I62" s="57">
        <v>100</v>
      </c>
      <c r="J62" s="57" t="str">
        <f t="shared" si="1"/>
        <v>GH22_100</v>
      </c>
      <c r="K62" s="57"/>
      <c r="L62" s="57"/>
    </row>
    <row r="63" spans="1:12" x14ac:dyDescent="0.4">
      <c r="A63" s="37" t="s">
        <v>1708</v>
      </c>
      <c r="B63" s="48" t="s">
        <v>28</v>
      </c>
      <c r="C63" s="49">
        <v>5</v>
      </c>
      <c r="D63" s="48" t="s">
        <v>45</v>
      </c>
      <c r="E63" s="48" t="s">
        <v>1510</v>
      </c>
      <c r="F63" s="48"/>
      <c r="G63" s="48" t="s">
        <v>1103</v>
      </c>
      <c r="H63" s="119" t="s">
        <v>1098</v>
      </c>
      <c r="I63" s="48" t="s">
        <v>46</v>
      </c>
      <c r="J63" s="48" t="str">
        <f t="shared" si="1"/>
        <v>GH32_None</v>
      </c>
      <c r="K63" s="48"/>
      <c r="L63" s="48"/>
    </row>
    <row r="64" spans="1:12" x14ac:dyDescent="0.4">
      <c r="A64" s="44" t="s">
        <v>1708</v>
      </c>
      <c r="B64" s="50" t="s">
        <v>28</v>
      </c>
      <c r="C64" s="51">
        <v>5</v>
      </c>
      <c r="D64" s="50"/>
      <c r="E64" s="50" t="s">
        <v>1510</v>
      </c>
      <c r="F64" s="50"/>
      <c r="G64" s="50" t="s">
        <v>1103</v>
      </c>
      <c r="H64" s="120" t="s">
        <v>1515</v>
      </c>
      <c r="I64" s="50" t="s">
        <v>47</v>
      </c>
      <c r="J64" s="50" t="str">
        <f t="shared" si="1"/>
        <v>GH32_Insulated</v>
      </c>
      <c r="K64" s="50"/>
      <c r="L64" s="50"/>
    </row>
    <row r="65" spans="1:12" x14ac:dyDescent="0.4">
      <c r="A65" s="37" t="s">
        <v>593</v>
      </c>
      <c r="B65" s="58" t="s">
        <v>132</v>
      </c>
      <c r="C65" s="39">
        <v>1</v>
      </c>
      <c r="D65" s="38" t="s">
        <v>48</v>
      </c>
      <c r="E65" s="38"/>
      <c r="F65" s="38" t="s">
        <v>1549</v>
      </c>
      <c r="G65" s="38" t="s">
        <v>1550</v>
      </c>
      <c r="H65" s="116" t="s">
        <v>1108</v>
      </c>
      <c r="I65" s="38" t="s">
        <v>49</v>
      </c>
      <c r="J65" s="38" t="str">
        <f t="shared" ref="J65" si="3">A65&amp;"_"&amp;I65</f>
        <v>064_居室のみを暖房する</v>
      </c>
      <c r="K65" s="38" t="s">
        <v>1545</v>
      </c>
      <c r="L65" s="38" t="s">
        <v>1546</v>
      </c>
    </row>
    <row r="66" spans="1:12" x14ac:dyDescent="0.4">
      <c r="A66" s="37" t="s">
        <v>593</v>
      </c>
      <c r="B66" s="38" t="s">
        <v>132</v>
      </c>
      <c r="C66" s="42">
        <v>1</v>
      </c>
      <c r="D66" s="38"/>
      <c r="E66" s="38"/>
      <c r="F66" s="38" t="s">
        <v>1548</v>
      </c>
      <c r="G66" s="38" t="s">
        <v>1492</v>
      </c>
      <c r="H66" s="116" t="s">
        <v>1552</v>
      </c>
      <c r="I66" s="38" t="s">
        <v>50</v>
      </c>
      <c r="J66" s="38" t="str">
        <f t="shared" ref="J66:J122" si="4">A66&amp;"_"&amp;I66</f>
        <v>064_住戸全体を暖房する</v>
      </c>
      <c r="K66" s="38" t="s">
        <v>1545</v>
      </c>
      <c r="L66" s="38" t="s">
        <v>1547</v>
      </c>
    </row>
    <row r="67" spans="1:12" x14ac:dyDescent="0.4">
      <c r="A67" s="37" t="s">
        <v>593</v>
      </c>
      <c r="B67" s="38" t="s">
        <v>132</v>
      </c>
      <c r="C67" s="45">
        <v>1</v>
      </c>
      <c r="D67" s="40"/>
      <c r="E67" s="40"/>
      <c r="F67" s="40" t="s">
        <v>1548</v>
      </c>
      <c r="G67" s="40" t="s">
        <v>1492</v>
      </c>
      <c r="H67" s="115" t="s">
        <v>1551</v>
      </c>
      <c r="I67" s="40" t="s">
        <v>51</v>
      </c>
      <c r="J67" s="40" t="str">
        <f t="shared" si="4"/>
        <v>064_設置しない</v>
      </c>
      <c r="K67" s="40" t="s">
        <v>1545</v>
      </c>
      <c r="L67" s="40" t="s">
        <v>1545</v>
      </c>
    </row>
    <row r="68" spans="1:12" x14ac:dyDescent="0.4">
      <c r="A68" s="37" t="s">
        <v>594</v>
      </c>
      <c r="B68" s="38" t="s">
        <v>132</v>
      </c>
      <c r="C68" s="39">
        <v>2</v>
      </c>
      <c r="D68" s="38" t="s">
        <v>233</v>
      </c>
      <c r="E68" s="38" t="s">
        <v>1548</v>
      </c>
      <c r="F68" s="38" t="s">
        <v>1111</v>
      </c>
      <c r="G68" s="38"/>
      <c r="H68" s="116" t="s">
        <v>1111</v>
      </c>
      <c r="I68" s="38" t="s">
        <v>201</v>
      </c>
      <c r="J68" s="38" t="str">
        <f t="shared" si="4"/>
        <v>067_ルームエアコンディショナー</v>
      </c>
      <c r="K68" s="38" t="s">
        <v>648</v>
      </c>
      <c r="L68" s="38" t="s">
        <v>649</v>
      </c>
    </row>
    <row r="69" spans="1:12" x14ac:dyDescent="0.4">
      <c r="A69" s="37" t="s">
        <v>594</v>
      </c>
      <c r="B69" s="38" t="s">
        <v>132</v>
      </c>
      <c r="C69" s="42">
        <v>2</v>
      </c>
      <c r="D69" s="38"/>
      <c r="E69" s="38" t="s">
        <v>1548</v>
      </c>
      <c r="F69" s="38" t="s">
        <v>1554</v>
      </c>
      <c r="G69" s="38"/>
      <c r="H69" s="116" t="s">
        <v>1554</v>
      </c>
      <c r="I69" s="38" t="s">
        <v>202</v>
      </c>
      <c r="J69" s="38" t="str">
        <f t="shared" si="4"/>
        <v>067_FF暖房機</v>
      </c>
      <c r="K69" s="38" t="s">
        <v>648</v>
      </c>
      <c r="L69" s="38" t="s">
        <v>649</v>
      </c>
    </row>
    <row r="70" spans="1:12" x14ac:dyDescent="0.4">
      <c r="A70" s="37" t="s">
        <v>594</v>
      </c>
      <c r="B70" s="38" t="s">
        <v>132</v>
      </c>
      <c r="C70" s="42">
        <v>2</v>
      </c>
      <c r="D70" s="38"/>
      <c r="E70" s="38" t="s">
        <v>1548</v>
      </c>
      <c r="F70" s="38" t="s">
        <v>1555</v>
      </c>
      <c r="G70" s="38"/>
      <c r="H70" s="116" t="s">
        <v>1555</v>
      </c>
      <c r="I70" s="38" t="s">
        <v>203</v>
      </c>
      <c r="J70" s="38" t="str">
        <f t="shared" si="4"/>
        <v>067_電気蓄熱暖房器</v>
      </c>
      <c r="K70" s="38" t="s">
        <v>648</v>
      </c>
      <c r="L70" s="38" t="s">
        <v>648</v>
      </c>
    </row>
    <row r="71" spans="1:12" x14ac:dyDescent="0.4">
      <c r="A71" s="37" t="s">
        <v>594</v>
      </c>
      <c r="B71" s="38" t="s">
        <v>132</v>
      </c>
      <c r="C71" s="42">
        <v>2</v>
      </c>
      <c r="D71" s="38"/>
      <c r="E71" s="38" t="s">
        <v>1548</v>
      </c>
      <c r="F71" s="38" t="s">
        <v>1556</v>
      </c>
      <c r="G71" s="38"/>
      <c r="H71" s="116" t="s">
        <v>1556</v>
      </c>
      <c r="I71" s="38" t="s">
        <v>204</v>
      </c>
      <c r="J71" s="38" t="str">
        <f t="shared" si="4"/>
        <v>067_電気ヒーター床暖房</v>
      </c>
      <c r="K71" s="38" t="s">
        <v>648</v>
      </c>
      <c r="L71" s="38" t="s">
        <v>650</v>
      </c>
    </row>
    <row r="72" spans="1:12" x14ac:dyDescent="0.4">
      <c r="A72" s="37" t="s">
        <v>594</v>
      </c>
      <c r="B72" s="38" t="s">
        <v>132</v>
      </c>
      <c r="C72" s="42">
        <v>2</v>
      </c>
      <c r="D72" s="38"/>
      <c r="E72" s="38" t="s">
        <v>1548</v>
      </c>
      <c r="F72" s="38" t="s">
        <v>1557</v>
      </c>
      <c r="G72" s="38"/>
      <c r="H72" s="116" t="s">
        <v>1557</v>
      </c>
      <c r="I72" s="38" t="s">
        <v>205</v>
      </c>
      <c r="J72" s="38" t="str">
        <f t="shared" si="4"/>
        <v>067_ルームエアコンディショナー付温水床暖房機</v>
      </c>
      <c r="K72" s="38" t="s">
        <v>648</v>
      </c>
      <c r="L72" s="38" t="s">
        <v>651</v>
      </c>
    </row>
    <row r="73" spans="1:12" x14ac:dyDescent="0.4">
      <c r="A73" s="37" t="s">
        <v>594</v>
      </c>
      <c r="B73" s="38" t="s">
        <v>132</v>
      </c>
      <c r="C73" s="42">
        <v>2</v>
      </c>
      <c r="D73" s="38"/>
      <c r="E73" s="38" t="s">
        <v>1548</v>
      </c>
      <c r="F73" s="38" t="s">
        <v>1558</v>
      </c>
      <c r="G73" s="38"/>
      <c r="H73" s="116" t="s">
        <v>1558</v>
      </c>
      <c r="I73" s="38" t="s">
        <v>206</v>
      </c>
      <c r="J73" s="38" t="str">
        <f t="shared" si="4"/>
        <v>067_温水床暖房</v>
      </c>
      <c r="K73" s="38" t="s">
        <v>648</v>
      </c>
      <c r="L73" s="38" t="s">
        <v>652</v>
      </c>
    </row>
    <row r="74" spans="1:12" x14ac:dyDescent="0.4">
      <c r="A74" s="37" t="s">
        <v>594</v>
      </c>
      <c r="B74" s="38" t="s">
        <v>132</v>
      </c>
      <c r="C74" s="42">
        <v>2</v>
      </c>
      <c r="D74" s="38"/>
      <c r="E74" s="38" t="s">
        <v>1548</v>
      </c>
      <c r="F74" s="38" t="s">
        <v>1559</v>
      </c>
      <c r="G74" s="38"/>
      <c r="H74" s="116" t="s">
        <v>1559</v>
      </c>
      <c r="I74" s="38" t="s">
        <v>207</v>
      </c>
      <c r="J74" s="38" t="str">
        <f t="shared" si="4"/>
        <v>067_パネルラジエーター</v>
      </c>
      <c r="K74" s="38" t="s">
        <v>648</v>
      </c>
      <c r="L74" s="38" t="s">
        <v>648</v>
      </c>
    </row>
    <row r="75" spans="1:12" x14ac:dyDescent="0.4">
      <c r="A75" s="37" t="s">
        <v>594</v>
      </c>
      <c r="B75" s="38" t="s">
        <v>132</v>
      </c>
      <c r="C75" s="42">
        <v>2</v>
      </c>
      <c r="D75" s="38"/>
      <c r="E75" s="38" t="s">
        <v>1548</v>
      </c>
      <c r="F75" s="38" t="s">
        <v>1560</v>
      </c>
      <c r="G75" s="38"/>
      <c r="H75" s="116" t="s">
        <v>1560</v>
      </c>
      <c r="I75" s="38" t="s">
        <v>208</v>
      </c>
      <c r="J75" s="38" t="str">
        <f t="shared" si="4"/>
        <v>067_ファンコンベクター</v>
      </c>
      <c r="K75" s="38" t="s">
        <v>648</v>
      </c>
      <c r="L75" s="38" t="s">
        <v>648</v>
      </c>
    </row>
    <row r="76" spans="1:12" x14ac:dyDescent="0.4">
      <c r="A76" s="37" t="s">
        <v>594</v>
      </c>
      <c r="B76" s="38" t="s">
        <v>132</v>
      </c>
      <c r="C76" s="42">
        <v>2</v>
      </c>
      <c r="D76" s="38"/>
      <c r="E76" s="38" t="s">
        <v>1548</v>
      </c>
      <c r="F76" s="38" t="s">
        <v>1561</v>
      </c>
      <c r="G76" s="38"/>
      <c r="H76" s="116" t="s">
        <v>1561</v>
      </c>
      <c r="I76" s="38" t="s">
        <v>209</v>
      </c>
      <c r="J76" s="38" t="str">
        <f t="shared" si="4"/>
        <v>067_ペレットストーブ</v>
      </c>
      <c r="K76" s="38" t="s">
        <v>648</v>
      </c>
      <c r="L76" s="38" t="s">
        <v>653</v>
      </c>
    </row>
    <row r="77" spans="1:12" x14ac:dyDescent="0.4">
      <c r="A77" s="37" t="s">
        <v>594</v>
      </c>
      <c r="B77" s="38" t="s">
        <v>132</v>
      </c>
      <c r="C77" s="42">
        <v>2</v>
      </c>
      <c r="D77" s="38"/>
      <c r="E77" s="38" t="s">
        <v>1548</v>
      </c>
      <c r="F77" s="38" t="s">
        <v>1562</v>
      </c>
      <c r="G77" s="38"/>
      <c r="H77" s="116" t="s">
        <v>1562</v>
      </c>
      <c r="I77" s="38" t="s">
        <v>210</v>
      </c>
      <c r="J77" s="38" t="str">
        <f t="shared" si="4"/>
        <v>067_その他の暖房設備機器</v>
      </c>
      <c r="K77" s="38" t="s">
        <v>648</v>
      </c>
      <c r="L77" s="38" t="s">
        <v>654</v>
      </c>
    </row>
    <row r="78" spans="1:12" x14ac:dyDescent="0.4">
      <c r="A78" s="37" t="s">
        <v>594</v>
      </c>
      <c r="B78" s="38" t="s">
        <v>132</v>
      </c>
      <c r="C78" s="42">
        <v>2</v>
      </c>
      <c r="D78" s="38"/>
      <c r="E78" s="38" t="s">
        <v>1548</v>
      </c>
      <c r="F78" s="38" t="s">
        <v>1563</v>
      </c>
      <c r="G78" s="38"/>
      <c r="H78" s="116" t="s">
        <v>1563</v>
      </c>
      <c r="I78" s="38" t="s">
        <v>1553</v>
      </c>
      <c r="J78" s="38" t="str">
        <f t="shared" si="4"/>
        <v>067_基準値の算定において想定される機器（増改築部分を対象に評価する場合の基準設定仕様）</v>
      </c>
      <c r="K78" s="38" t="s">
        <v>648</v>
      </c>
      <c r="L78" s="38" t="s">
        <v>648</v>
      </c>
    </row>
    <row r="79" spans="1:12" x14ac:dyDescent="0.4">
      <c r="A79" s="37" t="s">
        <v>594</v>
      </c>
      <c r="B79" s="38" t="s">
        <v>132</v>
      </c>
      <c r="C79" s="42">
        <v>2</v>
      </c>
      <c r="D79" s="40"/>
      <c r="E79" s="40" t="s">
        <v>1548</v>
      </c>
      <c r="F79" s="124" t="s">
        <v>1564</v>
      </c>
      <c r="G79" s="40"/>
      <c r="H79" s="124" t="s">
        <v>1564</v>
      </c>
      <c r="I79" s="40" t="s">
        <v>211</v>
      </c>
      <c r="J79" s="40" t="str">
        <f t="shared" si="4"/>
        <v>067_暖房設備機器または放熱器を設置しない</v>
      </c>
      <c r="K79" s="40" t="s">
        <v>648</v>
      </c>
      <c r="L79" s="40" t="s">
        <v>648</v>
      </c>
    </row>
    <row r="80" spans="1:12" x14ac:dyDescent="0.4">
      <c r="A80" s="37" t="s">
        <v>595</v>
      </c>
      <c r="B80" s="38" t="s">
        <v>132</v>
      </c>
      <c r="C80" s="42">
        <v>2</v>
      </c>
      <c r="D80" s="38" t="s">
        <v>1566</v>
      </c>
      <c r="E80" s="38"/>
      <c r="F80" s="38"/>
      <c r="G80" s="38"/>
      <c r="H80" s="116" t="b">
        <v>0</v>
      </c>
      <c r="I80" s="38" t="s">
        <v>1565</v>
      </c>
      <c r="J80" s="38" t="str">
        <f t="shared" si="4"/>
        <v>079_入力しない（規定値を用いる）</v>
      </c>
      <c r="K80" s="38" t="s">
        <v>655</v>
      </c>
      <c r="L80" s="38" t="s">
        <v>655</v>
      </c>
    </row>
    <row r="81" spans="1:12" x14ac:dyDescent="0.4">
      <c r="A81" s="37" t="s">
        <v>595</v>
      </c>
      <c r="B81" s="38" t="s">
        <v>132</v>
      </c>
      <c r="C81" s="42">
        <v>2</v>
      </c>
      <c r="D81" s="40"/>
      <c r="E81" s="40"/>
      <c r="F81" s="40"/>
      <c r="G81" s="40"/>
      <c r="H81" s="115" t="b">
        <v>1</v>
      </c>
      <c r="I81" s="40" t="s">
        <v>212</v>
      </c>
      <c r="J81" s="40" t="str">
        <f t="shared" si="4"/>
        <v>079_入力する</v>
      </c>
      <c r="K81" s="40" t="s">
        <v>655</v>
      </c>
      <c r="L81" s="40"/>
    </row>
    <row r="82" spans="1:12" x14ac:dyDescent="0.4">
      <c r="A82" s="37" t="s">
        <v>596</v>
      </c>
      <c r="B82" s="38" t="s">
        <v>132</v>
      </c>
      <c r="C82" s="42">
        <v>2</v>
      </c>
      <c r="D82" s="40" t="s">
        <v>235</v>
      </c>
      <c r="E82" s="40"/>
      <c r="F82" s="40"/>
      <c r="G82" s="40" t="s">
        <v>1633</v>
      </c>
      <c r="H82" s="115" t="s">
        <v>187</v>
      </c>
      <c r="I82" s="59" t="s">
        <v>188</v>
      </c>
      <c r="J82" s="59" t="str">
        <f t="shared" si="4"/>
        <v>081_86.0</v>
      </c>
      <c r="K82" s="59"/>
      <c r="L82" s="59"/>
    </row>
    <row r="83" spans="1:12" x14ac:dyDescent="0.4">
      <c r="A83" s="37" t="s">
        <v>580</v>
      </c>
      <c r="B83" s="38" t="s">
        <v>132</v>
      </c>
      <c r="C83" s="42">
        <v>2</v>
      </c>
      <c r="D83" s="38" t="s">
        <v>236</v>
      </c>
      <c r="E83" s="38"/>
      <c r="F83" s="38"/>
      <c r="G83" s="38" t="s">
        <v>1142</v>
      </c>
      <c r="H83" s="116" t="s">
        <v>1114</v>
      </c>
      <c r="I83" s="38" t="s">
        <v>1593</v>
      </c>
      <c r="J83" s="38" t="str">
        <f t="shared" si="4"/>
        <v>082_区分（い）</v>
      </c>
      <c r="K83" s="38"/>
      <c r="L83" s="38"/>
    </row>
    <row r="84" spans="1:12" x14ac:dyDescent="0.4">
      <c r="A84" s="37" t="s">
        <v>580</v>
      </c>
      <c r="B84" s="38" t="s">
        <v>132</v>
      </c>
      <c r="C84" s="42">
        <v>2</v>
      </c>
      <c r="D84" s="38"/>
      <c r="E84" s="38"/>
      <c r="F84" s="38"/>
      <c r="G84" s="38" t="s">
        <v>1142</v>
      </c>
      <c r="H84" s="116" t="s">
        <v>1598</v>
      </c>
      <c r="I84" s="38" t="s">
        <v>1595</v>
      </c>
      <c r="J84" s="38" t="str">
        <f t="shared" si="4"/>
        <v>082_区分（ろ）</v>
      </c>
      <c r="K84" s="38"/>
      <c r="L84" s="38"/>
    </row>
    <row r="85" spans="1:12" x14ac:dyDescent="0.4">
      <c r="A85" s="37" t="s">
        <v>580</v>
      </c>
      <c r="B85" s="38" t="s">
        <v>132</v>
      </c>
      <c r="C85" s="42">
        <v>2</v>
      </c>
      <c r="D85" s="40"/>
      <c r="E85" s="40"/>
      <c r="F85" s="40"/>
      <c r="G85" s="40" t="s">
        <v>1142</v>
      </c>
      <c r="H85" s="115" t="s">
        <v>1599</v>
      </c>
      <c r="I85" s="40" t="s">
        <v>1597</v>
      </c>
      <c r="J85" s="40" t="str">
        <f t="shared" si="4"/>
        <v>082_区分（は）</v>
      </c>
      <c r="K85" s="40"/>
      <c r="L85" s="40"/>
    </row>
    <row r="86" spans="1:12" x14ac:dyDescent="0.4">
      <c r="A86" s="37" t="s">
        <v>597</v>
      </c>
      <c r="B86" s="38" t="s">
        <v>132</v>
      </c>
      <c r="C86" s="42">
        <v>2</v>
      </c>
      <c r="D86" s="38" t="s">
        <v>237</v>
      </c>
      <c r="E86" s="38"/>
      <c r="F86" s="38"/>
      <c r="G86" s="38" t="s">
        <v>1620</v>
      </c>
      <c r="H86" s="116" t="s">
        <v>1117</v>
      </c>
      <c r="I86" s="38" t="s">
        <v>178</v>
      </c>
      <c r="J86" s="38" t="str">
        <f t="shared" si="4"/>
        <v>085_評価しない、または搭載しない</v>
      </c>
      <c r="K86" s="38"/>
      <c r="L86" s="38"/>
    </row>
    <row r="87" spans="1:12" x14ac:dyDescent="0.4">
      <c r="A87" s="37" t="s">
        <v>597</v>
      </c>
      <c r="B87" s="38" t="s">
        <v>132</v>
      </c>
      <c r="C87" s="42">
        <v>2</v>
      </c>
      <c r="D87" s="40"/>
      <c r="E87" s="40"/>
      <c r="F87" s="40"/>
      <c r="G87" s="40" t="s">
        <v>1620</v>
      </c>
      <c r="H87" s="115" t="s">
        <v>1118</v>
      </c>
      <c r="I87" s="40" t="s">
        <v>179</v>
      </c>
      <c r="J87" s="40" t="str">
        <f t="shared" si="4"/>
        <v>085_搭載する</v>
      </c>
      <c r="K87" s="40"/>
      <c r="L87" s="40"/>
    </row>
    <row r="88" spans="1:12" x14ac:dyDescent="0.4">
      <c r="A88" s="37" t="s">
        <v>598</v>
      </c>
      <c r="B88" s="38" t="s">
        <v>132</v>
      </c>
      <c r="C88" s="42">
        <v>2</v>
      </c>
      <c r="D88" s="38" t="s">
        <v>1627</v>
      </c>
      <c r="E88" s="38"/>
      <c r="F88" s="38"/>
      <c r="G88" s="38"/>
      <c r="H88" s="116"/>
      <c r="I88" s="38" t="s">
        <v>1565</v>
      </c>
      <c r="J88" s="38" t="str">
        <f t="shared" si="4"/>
        <v>087_入力しない（規定値を用いる）</v>
      </c>
      <c r="K88" s="38" t="s">
        <v>657</v>
      </c>
      <c r="L88" s="38" t="s">
        <v>659</v>
      </c>
    </row>
    <row r="89" spans="1:12" x14ac:dyDescent="0.4">
      <c r="A89" s="37" t="s">
        <v>598</v>
      </c>
      <c r="B89" s="38" t="s">
        <v>132</v>
      </c>
      <c r="C89" s="42">
        <v>2</v>
      </c>
      <c r="D89" s="40"/>
      <c r="E89" s="40"/>
      <c r="F89" s="40"/>
      <c r="G89" s="40"/>
      <c r="H89" s="115"/>
      <c r="I89" s="40" t="s">
        <v>212</v>
      </c>
      <c r="J89" s="40" t="str">
        <f t="shared" si="4"/>
        <v>087_入力する</v>
      </c>
      <c r="K89" s="40" t="s">
        <v>657</v>
      </c>
      <c r="L89" s="40"/>
    </row>
    <row r="90" spans="1:12" x14ac:dyDescent="0.4">
      <c r="A90" s="37" t="s">
        <v>599</v>
      </c>
      <c r="B90" s="38" t="s">
        <v>132</v>
      </c>
      <c r="C90" s="42">
        <v>2</v>
      </c>
      <c r="D90" s="40" t="s">
        <v>1628</v>
      </c>
      <c r="E90" s="40"/>
      <c r="F90" s="40"/>
      <c r="G90" s="40"/>
      <c r="H90" s="115" t="s">
        <v>181</v>
      </c>
      <c r="I90" s="59" t="s">
        <v>182</v>
      </c>
      <c r="J90" s="59" t="str">
        <f t="shared" si="4"/>
        <v>089_40.0</v>
      </c>
      <c r="K90" s="59"/>
      <c r="L90" s="59"/>
    </row>
    <row r="91" spans="1:12" x14ac:dyDescent="0.4">
      <c r="A91" s="37" t="s">
        <v>581</v>
      </c>
      <c r="B91" s="38" t="s">
        <v>132</v>
      </c>
      <c r="C91" s="42">
        <v>2</v>
      </c>
      <c r="D91" s="38" t="s">
        <v>240</v>
      </c>
      <c r="E91" s="38"/>
      <c r="F91" s="38"/>
      <c r="G91" s="38" t="s">
        <v>1625</v>
      </c>
      <c r="H91" s="116" t="s">
        <v>1577</v>
      </c>
      <c r="I91" s="38" t="s">
        <v>1565</v>
      </c>
      <c r="J91" s="38" t="str">
        <f t="shared" si="4"/>
        <v>090_入力しない（規定値を用いる）</v>
      </c>
      <c r="K91" s="38" t="s">
        <v>763</v>
      </c>
      <c r="L91" s="38" t="s">
        <v>763</v>
      </c>
    </row>
    <row r="92" spans="1:12" x14ac:dyDescent="0.4">
      <c r="A92" s="37" t="s">
        <v>581</v>
      </c>
      <c r="B92" s="38" t="s">
        <v>132</v>
      </c>
      <c r="C92" s="42">
        <v>2</v>
      </c>
      <c r="D92" s="40"/>
      <c r="E92" s="40"/>
      <c r="F92" s="40"/>
      <c r="G92" s="40"/>
      <c r="H92" s="115" t="s">
        <v>1589</v>
      </c>
      <c r="I92" s="40" t="s">
        <v>212</v>
      </c>
      <c r="J92" s="40" t="str">
        <f t="shared" si="4"/>
        <v>090_入力する</v>
      </c>
      <c r="K92" s="40" t="s">
        <v>763</v>
      </c>
      <c r="L92" s="40"/>
    </row>
    <row r="93" spans="1:12" x14ac:dyDescent="0.4">
      <c r="A93" s="37" t="s">
        <v>600</v>
      </c>
      <c r="B93" s="38" t="s">
        <v>132</v>
      </c>
      <c r="C93" s="42">
        <v>2</v>
      </c>
      <c r="D93" s="38" t="s">
        <v>241</v>
      </c>
      <c r="E93" s="38"/>
      <c r="F93" s="38"/>
      <c r="G93" s="38" t="s">
        <v>1626</v>
      </c>
      <c r="H93" s="116" t="s">
        <v>189</v>
      </c>
      <c r="I93" s="60" t="s">
        <v>190</v>
      </c>
      <c r="J93" s="60" t="str">
        <f t="shared" si="4"/>
        <v>092_10.0</v>
      </c>
      <c r="K93" s="60"/>
      <c r="L93" s="60"/>
    </row>
    <row r="94" spans="1:12" x14ac:dyDescent="0.4">
      <c r="A94" s="37" t="s">
        <v>600</v>
      </c>
      <c r="B94" s="38" t="s">
        <v>132</v>
      </c>
      <c r="C94" s="42">
        <v>2</v>
      </c>
      <c r="D94" s="38"/>
      <c r="E94" s="38"/>
      <c r="F94" s="38"/>
      <c r="G94" s="38"/>
      <c r="H94" s="116" t="s">
        <v>1600</v>
      </c>
      <c r="I94" s="60" t="s">
        <v>191</v>
      </c>
      <c r="J94" s="60" t="str">
        <f t="shared" si="4"/>
        <v>092_20.0</v>
      </c>
      <c r="K94" s="60"/>
      <c r="L94" s="60"/>
    </row>
    <row r="95" spans="1:12" x14ac:dyDescent="0.4">
      <c r="A95" s="37" t="s">
        <v>600</v>
      </c>
      <c r="B95" s="38" t="s">
        <v>132</v>
      </c>
      <c r="C95" s="42">
        <v>2</v>
      </c>
      <c r="D95" s="38"/>
      <c r="E95" s="38"/>
      <c r="F95" s="38"/>
      <c r="G95" s="38"/>
      <c r="H95" s="116" t="s">
        <v>1601</v>
      </c>
      <c r="I95" s="60" t="s">
        <v>192</v>
      </c>
      <c r="J95" s="60" t="str">
        <f t="shared" si="4"/>
        <v>092_30.0</v>
      </c>
      <c r="K95" s="60"/>
      <c r="L95" s="60"/>
    </row>
    <row r="96" spans="1:12" x14ac:dyDescent="0.4">
      <c r="A96" s="37" t="s">
        <v>600</v>
      </c>
      <c r="B96" s="38" t="s">
        <v>132</v>
      </c>
      <c r="C96" s="42">
        <v>2</v>
      </c>
      <c r="D96" s="38"/>
      <c r="E96" s="38"/>
      <c r="F96" s="38"/>
      <c r="G96" s="38"/>
      <c r="H96" s="116" t="s">
        <v>181</v>
      </c>
      <c r="I96" s="60" t="s">
        <v>182</v>
      </c>
      <c r="J96" s="60" t="str">
        <f t="shared" si="4"/>
        <v>092_40.0</v>
      </c>
      <c r="K96" s="60"/>
      <c r="L96" s="60"/>
    </row>
    <row r="97" spans="1:12" x14ac:dyDescent="0.4">
      <c r="A97" s="37" t="s">
        <v>600</v>
      </c>
      <c r="B97" s="38" t="s">
        <v>132</v>
      </c>
      <c r="C97" s="42">
        <v>2</v>
      </c>
      <c r="D97" s="38"/>
      <c r="E97" s="38"/>
      <c r="F97" s="38"/>
      <c r="G97" s="38"/>
      <c r="H97" s="116" t="s">
        <v>1602</v>
      </c>
      <c r="I97" s="60" t="s">
        <v>193</v>
      </c>
      <c r="J97" s="60" t="str">
        <f t="shared" si="4"/>
        <v>092_50.0</v>
      </c>
      <c r="K97" s="60"/>
      <c r="L97" s="60"/>
    </row>
    <row r="98" spans="1:12" x14ac:dyDescent="0.4">
      <c r="A98" s="37" t="s">
        <v>600</v>
      </c>
      <c r="B98" s="38" t="s">
        <v>132</v>
      </c>
      <c r="C98" s="42">
        <v>2</v>
      </c>
      <c r="D98" s="38"/>
      <c r="E98" s="38"/>
      <c r="F98" s="38"/>
      <c r="G98" s="38"/>
      <c r="H98" s="116" t="s">
        <v>1603</v>
      </c>
      <c r="I98" s="60" t="s">
        <v>194</v>
      </c>
      <c r="J98" s="60" t="str">
        <f t="shared" si="4"/>
        <v>092_60.0</v>
      </c>
      <c r="K98" s="60"/>
      <c r="L98" s="60"/>
    </row>
    <row r="99" spans="1:12" x14ac:dyDescent="0.4">
      <c r="A99" s="37" t="s">
        <v>600</v>
      </c>
      <c r="B99" s="38" t="s">
        <v>132</v>
      </c>
      <c r="C99" s="42">
        <v>2</v>
      </c>
      <c r="D99" s="38"/>
      <c r="E99" s="38"/>
      <c r="F99" s="38"/>
      <c r="G99" s="38"/>
      <c r="H99" s="116" t="s">
        <v>1604</v>
      </c>
      <c r="I99" s="60" t="s">
        <v>195</v>
      </c>
      <c r="J99" s="60" t="str">
        <f t="shared" si="4"/>
        <v>092_70.0</v>
      </c>
      <c r="K99" s="60"/>
      <c r="L99" s="60"/>
    </row>
    <row r="100" spans="1:12" x14ac:dyDescent="0.4">
      <c r="A100" s="37" t="s">
        <v>600</v>
      </c>
      <c r="B100" s="38" t="s">
        <v>132</v>
      </c>
      <c r="C100" s="42">
        <v>2</v>
      </c>
      <c r="D100" s="38"/>
      <c r="E100" s="38"/>
      <c r="F100" s="38"/>
      <c r="G100" s="38"/>
      <c r="H100" s="116" t="s">
        <v>1605</v>
      </c>
      <c r="I100" s="60" t="s">
        <v>196</v>
      </c>
      <c r="J100" s="60" t="str">
        <f t="shared" si="4"/>
        <v>092_80.0</v>
      </c>
      <c r="K100" s="60"/>
      <c r="L100" s="60"/>
    </row>
    <row r="101" spans="1:12" x14ac:dyDescent="0.4">
      <c r="A101" s="37" t="s">
        <v>600</v>
      </c>
      <c r="B101" s="38" t="s">
        <v>132</v>
      </c>
      <c r="C101" s="42">
        <v>2</v>
      </c>
      <c r="D101" s="38"/>
      <c r="E101" s="38"/>
      <c r="F101" s="38"/>
      <c r="G101" s="38"/>
      <c r="H101" s="116" t="s">
        <v>1606</v>
      </c>
      <c r="I101" s="60" t="s">
        <v>197</v>
      </c>
      <c r="J101" s="60" t="str">
        <f t="shared" si="4"/>
        <v>092_90.0</v>
      </c>
      <c r="K101" s="60"/>
      <c r="L101" s="60"/>
    </row>
    <row r="102" spans="1:12" x14ac:dyDescent="0.4">
      <c r="A102" s="37" t="s">
        <v>600</v>
      </c>
      <c r="B102" s="38" t="s">
        <v>132</v>
      </c>
      <c r="C102" s="42">
        <v>2</v>
      </c>
      <c r="D102" s="40"/>
      <c r="E102" s="40"/>
      <c r="F102" s="40"/>
      <c r="G102" s="40"/>
      <c r="H102" s="115" t="s">
        <v>1607</v>
      </c>
      <c r="I102" s="59" t="s">
        <v>198</v>
      </c>
      <c r="J102" s="59" t="str">
        <f t="shared" si="4"/>
        <v>092_100.0</v>
      </c>
      <c r="K102" s="59"/>
      <c r="L102" s="59"/>
    </row>
    <row r="103" spans="1:12" x14ac:dyDescent="0.4">
      <c r="A103" s="37" t="s">
        <v>663</v>
      </c>
      <c r="B103" s="38" t="s">
        <v>132</v>
      </c>
      <c r="C103" s="42">
        <v>2</v>
      </c>
      <c r="D103" s="38" t="s">
        <v>271</v>
      </c>
      <c r="E103" s="38"/>
      <c r="F103" s="38"/>
      <c r="G103" s="38" t="s">
        <v>1624</v>
      </c>
      <c r="H103" s="116" t="s">
        <v>1608</v>
      </c>
      <c r="I103" s="61" t="s">
        <v>1608</v>
      </c>
      <c r="J103" s="60" t="str">
        <f t="shared" si="4"/>
        <v>102_70</v>
      </c>
      <c r="K103" s="60"/>
      <c r="L103" s="60"/>
    </row>
    <row r="104" spans="1:12" x14ac:dyDescent="0.4">
      <c r="A104" s="37" t="s">
        <v>663</v>
      </c>
      <c r="B104" s="38" t="s">
        <v>132</v>
      </c>
      <c r="C104" s="42">
        <v>2</v>
      </c>
      <c r="D104" s="38"/>
      <c r="E104" s="38"/>
      <c r="F104" s="38"/>
      <c r="G104" s="38" t="s">
        <v>1624</v>
      </c>
      <c r="H104" s="116" t="s">
        <v>1609</v>
      </c>
      <c r="I104" s="60" t="s">
        <v>1609</v>
      </c>
      <c r="J104" s="60" t="str">
        <f t="shared" si="4"/>
        <v>102_80</v>
      </c>
      <c r="K104" s="60"/>
      <c r="L104" s="60"/>
    </row>
    <row r="105" spans="1:12" x14ac:dyDescent="0.4">
      <c r="A105" s="37" t="s">
        <v>663</v>
      </c>
      <c r="B105" s="38" t="s">
        <v>132</v>
      </c>
      <c r="C105" s="42">
        <v>2</v>
      </c>
      <c r="D105" s="40"/>
      <c r="E105" s="40"/>
      <c r="F105" s="40"/>
      <c r="G105" s="40" t="s">
        <v>1624</v>
      </c>
      <c r="H105" s="115" t="s">
        <v>1610</v>
      </c>
      <c r="I105" s="59" t="s">
        <v>1610</v>
      </c>
      <c r="J105" s="59" t="str">
        <f t="shared" si="4"/>
        <v>102_90</v>
      </c>
      <c r="K105" s="59"/>
      <c r="L105" s="59"/>
    </row>
    <row r="106" spans="1:12" x14ac:dyDescent="0.4">
      <c r="A106" s="37" t="s">
        <v>664</v>
      </c>
      <c r="B106" s="38" t="s">
        <v>132</v>
      </c>
      <c r="C106" s="42">
        <v>2</v>
      </c>
      <c r="D106" s="38" t="s">
        <v>242</v>
      </c>
      <c r="E106" s="38"/>
      <c r="F106" s="38"/>
      <c r="G106" s="38" t="s">
        <v>1621</v>
      </c>
      <c r="H106" s="116" t="s">
        <v>1622</v>
      </c>
      <c r="I106" s="38" t="s">
        <v>213</v>
      </c>
      <c r="J106" s="38" t="str">
        <f t="shared" si="4"/>
        <v>112_評価しない</v>
      </c>
      <c r="K106" s="38"/>
      <c r="L106" s="38"/>
    </row>
    <row r="107" spans="1:12" x14ac:dyDescent="0.4">
      <c r="A107" s="37" t="s">
        <v>664</v>
      </c>
      <c r="B107" s="38" t="s">
        <v>132</v>
      </c>
      <c r="C107" s="42">
        <v>2</v>
      </c>
      <c r="D107" s="40"/>
      <c r="E107" s="40"/>
      <c r="F107" s="40"/>
      <c r="G107" s="40" t="s">
        <v>1621</v>
      </c>
      <c r="H107" s="115" t="s">
        <v>1623</v>
      </c>
      <c r="I107" s="40" t="s">
        <v>214</v>
      </c>
      <c r="J107" s="40" t="str">
        <f t="shared" si="4"/>
        <v>112_評価する</v>
      </c>
      <c r="K107" s="40"/>
      <c r="L107" s="40"/>
    </row>
    <row r="108" spans="1:12" x14ac:dyDescent="0.4">
      <c r="A108" s="37" t="s">
        <v>665</v>
      </c>
      <c r="B108" s="38" t="s">
        <v>132</v>
      </c>
      <c r="C108" s="42">
        <v>2</v>
      </c>
      <c r="D108" s="38" t="s">
        <v>243</v>
      </c>
      <c r="E108" s="38"/>
      <c r="F108" s="38"/>
      <c r="G108" s="38" t="s">
        <v>1629</v>
      </c>
      <c r="H108" s="116" t="s">
        <v>1192</v>
      </c>
      <c r="I108" s="38" t="s">
        <v>215</v>
      </c>
      <c r="J108" s="38" t="str">
        <f t="shared" si="4"/>
        <v>114_評価しない、または採用しない</v>
      </c>
      <c r="K108" s="38"/>
      <c r="L108" s="38"/>
    </row>
    <row r="109" spans="1:12" x14ac:dyDescent="0.4">
      <c r="A109" s="37" t="s">
        <v>665</v>
      </c>
      <c r="B109" s="38" t="s">
        <v>132</v>
      </c>
      <c r="C109" s="42">
        <v>2</v>
      </c>
      <c r="D109" s="40"/>
      <c r="E109" s="40"/>
      <c r="F109" s="40"/>
      <c r="G109" s="40" t="s">
        <v>1629</v>
      </c>
      <c r="H109" s="115" t="s">
        <v>1515</v>
      </c>
      <c r="I109" s="40" t="s">
        <v>216</v>
      </c>
      <c r="J109" s="40" t="str">
        <f t="shared" si="4"/>
        <v>114_採用する</v>
      </c>
      <c r="K109" s="40"/>
      <c r="L109" s="40"/>
    </row>
    <row r="110" spans="1:12" x14ac:dyDescent="0.4">
      <c r="A110" s="37" t="s">
        <v>666</v>
      </c>
      <c r="B110" s="38" t="s">
        <v>132</v>
      </c>
      <c r="C110" s="42">
        <v>2</v>
      </c>
      <c r="D110" s="43" t="s">
        <v>244</v>
      </c>
      <c r="E110" s="43"/>
      <c r="F110" s="43"/>
      <c r="G110" s="43" t="s">
        <v>1630</v>
      </c>
      <c r="H110" s="117">
        <v>12.5</v>
      </c>
      <c r="I110" s="62">
        <v>12.5</v>
      </c>
      <c r="J110" s="62" t="str">
        <f t="shared" si="4"/>
        <v>116_12.5</v>
      </c>
      <c r="K110" s="62"/>
      <c r="L110" s="62"/>
    </row>
    <row r="111" spans="1:12" x14ac:dyDescent="0.4">
      <c r="A111" s="37" t="s">
        <v>667</v>
      </c>
      <c r="B111" s="38" t="s">
        <v>132</v>
      </c>
      <c r="C111" s="42">
        <v>2</v>
      </c>
      <c r="D111" s="40" t="s">
        <v>245</v>
      </c>
      <c r="E111" s="40"/>
      <c r="F111" s="40"/>
      <c r="G111" s="40" t="s">
        <v>1142</v>
      </c>
      <c r="H111" s="115">
        <v>63.7</v>
      </c>
      <c r="I111" s="63">
        <v>63.7</v>
      </c>
      <c r="J111" s="63" t="str">
        <f t="shared" si="4"/>
        <v>117_63.7</v>
      </c>
      <c r="K111" s="63"/>
      <c r="L111" s="63"/>
    </row>
    <row r="112" spans="1:12" x14ac:dyDescent="0.4">
      <c r="A112" s="37" t="s">
        <v>668</v>
      </c>
      <c r="B112" s="38" t="s">
        <v>132</v>
      </c>
      <c r="C112" s="42">
        <v>2</v>
      </c>
      <c r="D112" s="40" t="s">
        <v>246</v>
      </c>
      <c r="E112" s="40"/>
      <c r="F112" s="40"/>
      <c r="G112" s="40" t="s">
        <v>1631</v>
      </c>
      <c r="H112" s="115">
        <v>155</v>
      </c>
      <c r="I112" s="64">
        <v>155</v>
      </c>
      <c r="J112" s="64" t="str">
        <f t="shared" si="4"/>
        <v>118_155</v>
      </c>
      <c r="K112" s="64"/>
      <c r="L112" s="64"/>
    </row>
    <row r="113" spans="1:12" x14ac:dyDescent="0.4">
      <c r="A113" s="37" t="s">
        <v>669</v>
      </c>
      <c r="B113" s="38" t="s">
        <v>132</v>
      </c>
      <c r="C113" s="42">
        <v>2</v>
      </c>
      <c r="D113" s="40" t="s">
        <v>247</v>
      </c>
      <c r="E113" s="40"/>
      <c r="F113" s="40"/>
      <c r="G113" s="40" t="s">
        <v>1632</v>
      </c>
      <c r="H113" s="115">
        <v>134</v>
      </c>
      <c r="I113" s="64">
        <v>134</v>
      </c>
      <c r="J113" s="64" t="str">
        <f t="shared" si="4"/>
        <v>119_134</v>
      </c>
      <c r="K113" s="64"/>
      <c r="L113" s="64"/>
    </row>
    <row r="114" spans="1:12" x14ac:dyDescent="0.4">
      <c r="A114" s="37" t="s">
        <v>670</v>
      </c>
      <c r="B114" s="38" t="s">
        <v>132</v>
      </c>
      <c r="C114" s="45">
        <v>2</v>
      </c>
      <c r="D114" s="40" t="s">
        <v>248</v>
      </c>
      <c r="E114" s="40"/>
      <c r="F114" s="40"/>
      <c r="G114" s="40"/>
      <c r="H114" s="115"/>
      <c r="I114" s="40" t="s">
        <v>221</v>
      </c>
      <c r="J114" s="40" t="str">
        <f t="shared" si="4"/>
        <v>120_（その他の暖房機器の名称）</v>
      </c>
      <c r="K114" s="40"/>
      <c r="L114" s="40"/>
    </row>
    <row r="115" spans="1:12" x14ac:dyDescent="0.4">
      <c r="A115" s="37" t="s">
        <v>671</v>
      </c>
      <c r="B115" s="38" t="s">
        <v>132</v>
      </c>
      <c r="C115" s="42">
        <v>3</v>
      </c>
      <c r="D115" s="38" t="s">
        <v>249</v>
      </c>
      <c r="E115" s="38"/>
      <c r="F115" s="116" t="s">
        <v>1111</v>
      </c>
      <c r="G115" s="38"/>
      <c r="H115" s="116" t="s">
        <v>1111</v>
      </c>
      <c r="I115" s="38" t="s">
        <v>201</v>
      </c>
      <c r="J115" s="38" t="str">
        <f t="shared" si="4"/>
        <v>121_ルームエアコンディショナー</v>
      </c>
      <c r="K115" s="38"/>
      <c r="L115" s="38"/>
    </row>
    <row r="116" spans="1:12" x14ac:dyDescent="0.4">
      <c r="A116" s="37" t="s">
        <v>671</v>
      </c>
      <c r="B116" s="38" t="s">
        <v>132</v>
      </c>
      <c r="C116" s="42">
        <v>3</v>
      </c>
      <c r="D116" s="38"/>
      <c r="E116" s="38"/>
      <c r="F116" s="116" t="s">
        <v>1554</v>
      </c>
      <c r="G116" s="38"/>
      <c r="H116" s="116" t="s">
        <v>1554</v>
      </c>
      <c r="I116" s="38" t="s">
        <v>202</v>
      </c>
      <c r="J116" s="38" t="str">
        <f t="shared" si="4"/>
        <v>121_FF暖房機</v>
      </c>
      <c r="K116" s="38"/>
      <c r="L116" s="38"/>
    </row>
    <row r="117" spans="1:12" x14ac:dyDescent="0.4">
      <c r="A117" s="37" t="s">
        <v>671</v>
      </c>
      <c r="B117" s="38" t="s">
        <v>132</v>
      </c>
      <c r="C117" s="42">
        <v>3</v>
      </c>
      <c r="D117" s="38"/>
      <c r="E117" s="38"/>
      <c r="F117" s="116" t="s">
        <v>1555</v>
      </c>
      <c r="G117" s="38"/>
      <c r="H117" s="116" t="s">
        <v>1555</v>
      </c>
      <c r="I117" s="38" t="s">
        <v>203</v>
      </c>
      <c r="J117" s="38" t="str">
        <f t="shared" si="4"/>
        <v>121_電気蓄熱暖房器</v>
      </c>
      <c r="K117" s="38"/>
      <c r="L117" s="38"/>
    </row>
    <row r="118" spans="1:12" x14ac:dyDescent="0.4">
      <c r="A118" s="37" t="s">
        <v>671</v>
      </c>
      <c r="B118" s="38" t="s">
        <v>132</v>
      </c>
      <c r="C118" s="42">
        <v>3</v>
      </c>
      <c r="D118" s="38"/>
      <c r="E118" s="38"/>
      <c r="F118" s="116" t="s">
        <v>1556</v>
      </c>
      <c r="G118" s="38"/>
      <c r="H118" s="116" t="s">
        <v>1556</v>
      </c>
      <c r="I118" s="38" t="s">
        <v>204</v>
      </c>
      <c r="J118" s="38" t="str">
        <f t="shared" si="4"/>
        <v>121_電気ヒーター床暖房</v>
      </c>
      <c r="K118" s="38"/>
      <c r="L118" s="38"/>
    </row>
    <row r="119" spans="1:12" x14ac:dyDescent="0.4">
      <c r="A119" s="37" t="s">
        <v>671</v>
      </c>
      <c r="B119" s="38" t="s">
        <v>132</v>
      </c>
      <c r="C119" s="42">
        <v>3</v>
      </c>
      <c r="D119" s="38"/>
      <c r="E119" s="38"/>
      <c r="F119" s="116" t="s">
        <v>1557</v>
      </c>
      <c r="G119" s="38"/>
      <c r="H119" s="116" t="s">
        <v>1557</v>
      </c>
      <c r="I119" s="38" t="s">
        <v>205</v>
      </c>
      <c r="J119" s="38" t="str">
        <f t="shared" si="4"/>
        <v>121_ルームエアコンディショナー付温水床暖房機</v>
      </c>
      <c r="K119" s="38"/>
      <c r="L119" s="38"/>
    </row>
    <row r="120" spans="1:12" x14ac:dyDescent="0.4">
      <c r="A120" s="37" t="s">
        <v>671</v>
      </c>
      <c r="B120" s="38" t="s">
        <v>132</v>
      </c>
      <c r="C120" s="42">
        <v>3</v>
      </c>
      <c r="D120" s="38"/>
      <c r="E120" s="38"/>
      <c r="F120" s="116" t="s">
        <v>1558</v>
      </c>
      <c r="G120" s="38"/>
      <c r="H120" s="116" t="s">
        <v>1558</v>
      </c>
      <c r="I120" s="38" t="s">
        <v>206</v>
      </c>
      <c r="J120" s="38" t="str">
        <f t="shared" si="4"/>
        <v>121_温水床暖房</v>
      </c>
      <c r="K120" s="38"/>
      <c r="L120" s="38"/>
    </row>
    <row r="121" spans="1:12" x14ac:dyDescent="0.4">
      <c r="A121" s="37" t="s">
        <v>671</v>
      </c>
      <c r="B121" s="38" t="s">
        <v>132</v>
      </c>
      <c r="C121" s="42">
        <v>3</v>
      </c>
      <c r="D121" s="38"/>
      <c r="E121" s="38"/>
      <c r="F121" s="116" t="s">
        <v>1559</v>
      </c>
      <c r="G121" s="38"/>
      <c r="H121" s="116" t="s">
        <v>1559</v>
      </c>
      <c r="I121" s="38" t="s">
        <v>207</v>
      </c>
      <c r="J121" s="38" t="str">
        <f t="shared" si="4"/>
        <v>121_パネルラジエーター</v>
      </c>
      <c r="K121" s="38"/>
      <c r="L121" s="38"/>
    </row>
    <row r="122" spans="1:12" x14ac:dyDescent="0.4">
      <c r="A122" s="37" t="s">
        <v>671</v>
      </c>
      <c r="B122" s="38" t="s">
        <v>132</v>
      </c>
      <c r="C122" s="42">
        <v>3</v>
      </c>
      <c r="D122" s="38"/>
      <c r="E122" s="38"/>
      <c r="F122" s="116" t="s">
        <v>1560</v>
      </c>
      <c r="G122" s="38"/>
      <c r="H122" s="116" t="s">
        <v>1560</v>
      </c>
      <c r="I122" s="38" t="s">
        <v>208</v>
      </c>
      <c r="J122" s="38" t="str">
        <f t="shared" si="4"/>
        <v>121_ファンコンベクター</v>
      </c>
      <c r="K122" s="38"/>
      <c r="L122" s="38"/>
    </row>
    <row r="123" spans="1:12" x14ac:dyDescent="0.4">
      <c r="A123" s="37" t="s">
        <v>671</v>
      </c>
      <c r="B123" s="38" t="s">
        <v>132</v>
      </c>
      <c r="C123" s="42">
        <v>3</v>
      </c>
      <c r="D123" s="38"/>
      <c r="E123" s="38"/>
      <c r="F123" s="116" t="s">
        <v>1561</v>
      </c>
      <c r="G123" s="38"/>
      <c r="H123" s="116" t="s">
        <v>1561</v>
      </c>
      <c r="I123" s="38" t="s">
        <v>209</v>
      </c>
      <c r="J123" s="38" t="str">
        <f t="shared" ref="J123:J179" si="5">A123&amp;"_"&amp;I123</f>
        <v>121_ペレットストーブ</v>
      </c>
      <c r="K123" s="38"/>
      <c r="L123" s="38"/>
    </row>
    <row r="124" spans="1:12" x14ac:dyDescent="0.4">
      <c r="A124" s="37" t="s">
        <v>671</v>
      </c>
      <c r="B124" s="38" t="s">
        <v>132</v>
      </c>
      <c r="C124" s="42">
        <v>3</v>
      </c>
      <c r="D124" s="38"/>
      <c r="E124" s="38"/>
      <c r="F124" s="116" t="s">
        <v>1562</v>
      </c>
      <c r="G124" s="38"/>
      <c r="H124" s="116" t="s">
        <v>1562</v>
      </c>
      <c r="I124" s="38" t="s">
        <v>210</v>
      </c>
      <c r="J124" s="38" t="str">
        <f t="shared" si="5"/>
        <v>121_その他の暖房設備機器</v>
      </c>
      <c r="K124" s="38"/>
      <c r="L124" s="38"/>
    </row>
    <row r="125" spans="1:12" x14ac:dyDescent="0.4">
      <c r="A125" s="37" t="s">
        <v>671</v>
      </c>
      <c r="B125" s="38" t="s">
        <v>132</v>
      </c>
      <c r="C125" s="42">
        <v>3</v>
      </c>
      <c r="D125" s="38"/>
      <c r="E125" s="38"/>
      <c r="F125" s="116" t="s">
        <v>1563</v>
      </c>
      <c r="G125" s="38"/>
      <c r="H125" s="116" t="s">
        <v>1563</v>
      </c>
      <c r="I125" s="38" t="s">
        <v>973</v>
      </c>
      <c r="J125" s="38" t="str">
        <f t="shared" si="5"/>
        <v>121_基準値の算定において想定される機器（増改築部分を対象に評価する場合の基準設定仕様</v>
      </c>
      <c r="K125" s="38"/>
      <c r="L125" s="38"/>
    </row>
    <row r="126" spans="1:12" x14ac:dyDescent="0.4">
      <c r="A126" s="37" t="s">
        <v>671</v>
      </c>
      <c r="B126" s="38" t="s">
        <v>132</v>
      </c>
      <c r="C126" s="42">
        <v>3</v>
      </c>
      <c r="D126" s="40"/>
      <c r="E126" s="40"/>
      <c r="F126" s="124" t="s">
        <v>1098</v>
      </c>
      <c r="G126" s="40"/>
      <c r="H126" s="124" t="s">
        <v>1098</v>
      </c>
      <c r="I126" s="40" t="s">
        <v>211</v>
      </c>
      <c r="J126" s="40" t="str">
        <f t="shared" si="5"/>
        <v>121_暖房設備機器または放熱器を設置しない</v>
      </c>
      <c r="K126" s="40"/>
      <c r="L126" s="40"/>
    </row>
    <row r="127" spans="1:12" x14ac:dyDescent="0.4">
      <c r="A127" s="37" t="s">
        <v>672</v>
      </c>
      <c r="B127" s="38" t="s">
        <v>132</v>
      </c>
      <c r="C127" s="42">
        <v>3</v>
      </c>
      <c r="D127" s="38" t="s">
        <v>250</v>
      </c>
      <c r="E127" s="38"/>
      <c r="F127" s="38"/>
      <c r="G127" s="38"/>
      <c r="H127" s="116"/>
      <c r="I127" s="38" t="s">
        <v>1565</v>
      </c>
      <c r="J127" s="38" t="str">
        <f t="shared" si="5"/>
        <v>133_入力しない（規定値を用いる）</v>
      </c>
      <c r="K127" s="38"/>
      <c r="L127" s="38"/>
    </row>
    <row r="128" spans="1:12" x14ac:dyDescent="0.4">
      <c r="A128" s="37" t="s">
        <v>672</v>
      </c>
      <c r="B128" s="38" t="s">
        <v>132</v>
      </c>
      <c r="C128" s="42">
        <v>3</v>
      </c>
      <c r="D128" s="40"/>
      <c r="E128" s="40"/>
      <c r="F128" s="40"/>
      <c r="G128" s="40"/>
      <c r="H128" s="115"/>
      <c r="I128" s="40" t="s">
        <v>55</v>
      </c>
      <c r="J128" s="40" t="str">
        <f t="shared" si="5"/>
        <v>133_入力する</v>
      </c>
      <c r="K128" s="40"/>
      <c r="L128" s="40"/>
    </row>
    <row r="129" spans="1:12" x14ac:dyDescent="0.4">
      <c r="A129" s="37" t="s">
        <v>673</v>
      </c>
      <c r="B129" s="38" t="s">
        <v>132</v>
      </c>
      <c r="C129" s="42">
        <v>3</v>
      </c>
      <c r="D129" s="40" t="s">
        <v>251</v>
      </c>
      <c r="E129" s="40"/>
      <c r="F129" s="40"/>
      <c r="G129" s="40" t="s">
        <v>1633</v>
      </c>
      <c r="H129" s="115" t="s">
        <v>187</v>
      </c>
      <c r="I129" s="59" t="s">
        <v>188</v>
      </c>
      <c r="J129" s="59" t="str">
        <f t="shared" si="5"/>
        <v>135_86.0</v>
      </c>
      <c r="K129" s="59"/>
      <c r="L129" s="59"/>
    </row>
    <row r="130" spans="1:12" x14ac:dyDescent="0.4">
      <c r="A130" s="37" t="s">
        <v>674</v>
      </c>
      <c r="B130" s="38" t="s">
        <v>132</v>
      </c>
      <c r="C130" s="42">
        <v>3</v>
      </c>
      <c r="D130" s="38" t="s">
        <v>252</v>
      </c>
      <c r="E130" s="38"/>
      <c r="F130" s="38"/>
      <c r="G130" s="38" t="s">
        <v>1142</v>
      </c>
      <c r="H130" s="116" t="s">
        <v>1114</v>
      </c>
      <c r="I130" s="58" t="s">
        <v>177</v>
      </c>
      <c r="J130" s="38" t="str">
        <f t="shared" si="5"/>
        <v>136_区分（い）</v>
      </c>
      <c r="K130" s="38"/>
      <c r="L130" s="38"/>
    </row>
    <row r="131" spans="1:12" x14ac:dyDescent="0.4">
      <c r="A131" s="37" t="s">
        <v>674</v>
      </c>
      <c r="B131" s="38" t="s">
        <v>132</v>
      </c>
      <c r="C131" s="42">
        <v>3</v>
      </c>
      <c r="D131" s="38"/>
      <c r="E131" s="38"/>
      <c r="F131" s="38"/>
      <c r="G131" s="38" t="s">
        <v>1142</v>
      </c>
      <c r="H131" s="116" t="s">
        <v>1598</v>
      </c>
      <c r="I131" s="38" t="s">
        <v>1594</v>
      </c>
      <c r="J131" s="38" t="str">
        <f t="shared" si="5"/>
        <v>136_区分（ろ）</v>
      </c>
      <c r="K131" s="38"/>
      <c r="L131" s="38"/>
    </row>
    <row r="132" spans="1:12" x14ac:dyDescent="0.4">
      <c r="A132" s="37" t="s">
        <v>674</v>
      </c>
      <c r="B132" s="38" t="s">
        <v>132</v>
      </c>
      <c r="C132" s="42">
        <v>3</v>
      </c>
      <c r="D132" s="40"/>
      <c r="E132" s="40"/>
      <c r="F132" s="40"/>
      <c r="G132" s="40" t="s">
        <v>1142</v>
      </c>
      <c r="H132" s="115" t="s">
        <v>1599</v>
      </c>
      <c r="I132" s="40" t="s">
        <v>1596</v>
      </c>
      <c r="J132" s="40" t="str">
        <f t="shared" si="5"/>
        <v>136_区分（は）</v>
      </c>
      <c r="K132" s="40"/>
      <c r="L132" s="40"/>
    </row>
    <row r="133" spans="1:12" x14ac:dyDescent="0.4">
      <c r="A133" s="37" t="s">
        <v>675</v>
      </c>
      <c r="B133" s="38" t="s">
        <v>132</v>
      </c>
      <c r="C133" s="42">
        <v>3</v>
      </c>
      <c r="D133" s="38" t="s">
        <v>253</v>
      </c>
      <c r="E133" s="38"/>
      <c r="F133" s="38"/>
      <c r="G133" s="38" t="s">
        <v>1620</v>
      </c>
      <c r="H133" s="116" t="s">
        <v>1117</v>
      </c>
      <c r="I133" s="38" t="s">
        <v>178</v>
      </c>
      <c r="J133" s="38" t="str">
        <f t="shared" si="5"/>
        <v>139_評価しない、または搭載しない</v>
      </c>
      <c r="K133" s="38"/>
      <c r="L133" s="38"/>
    </row>
    <row r="134" spans="1:12" x14ac:dyDescent="0.4">
      <c r="A134" s="37" t="s">
        <v>675</v>
      </c>
      <c r="B134" s="38" t="s">
        <v>132</v>
      </c>
      <c r="C134" s="42">
        <v>3</v>
      </c>
      <c r="D134" s="40"/>
      <c r="E134" s="40"/>
      <c r="F134" s="40"/>
      <c r="G134" s="40" t="s">
        <v>1620</v>
      </c>
      <c r="H134" s="115" t="s">
        <v>1118</v>
      </c>
      <c r="I134" s="40" t="s">
        <v>179</v>
      </c>
      <c r="J134" s="40" t="str">
        <f t="shared" si="5"/>
        <v>139_搭載する</v>
      </c>
      <c r="K134" s="40"/>
      <c r="L134" s="40"/>
    </row>
    <row r="135" spans="1:12" x14ac:dyDescent="0.4">
      <c r="A135" s="37" t="s">
        <v>676</v>
      </c>
      <c r="B135" s="38" t="s">
        <v>132</v>
      </c>
      <c r="C135" s="42">
        <v>3</v>
      </c>
      <c r="D135" s="38" t="s">
        <v>254</v>
      </c>
      <c r="E135" s="38"/>
      <c r="F135" s="38"/>
      <c r="G135" s="38" t="s">
        <v>1625</v>
      </c>
      <c r="H135" s="116" t="s">
        <v>1577</v>
      </c>
      <c r="I135" s="38" t="s">
        <v>1565</v>
      </c>
      <c r="J135" s="38" t="str">
        <f t="shared" si="5"/>
        <v>141_入力しない（規定値を用いる）</v>
      </c>
      <c r="K135" s="38"/>
      <c r="L135" s="38"/>
    </row>
    <row r="136" spans="1:12" x14ac:dyDescent="0.4">
      <c r="A136" s="37" t="s">
        <v>676</v>
      </c>
      <c r="B136" s="38" t="s">
        <v>132</v>
      </c>
      <c r="C136" s="42">
        <v>3</v>
      </c>
      <c r="D136" s="40"/>
      <c r="E136" s="40"/>
      <c r="F136" s="40"/>
      <c r="G136" s="40"/>
      <c r="H136" s="115" t="s">
        <v>1589</v>
      </c>
      <c r="I136" s="40" t="s">
        <v>212</v>
      </c>
      <c r="J136" s="40" t="str">
        <f t="shared" si="5"/>
        <v>141_入力する</v>
      </c>
      <c r="K136" s="40"/>
      <c r="L136" s="40"/>
    </row>
    <row r="137" spans="1:12" x14ac:dyDescent="0.4">
      <c r="A137" s="37" t="s">
        <v>677</v>
      </c>
      <c r="B137" s="38" t="s">
        <v>132</v>
      </c>
      <c r="C137" s="42">
        <v>3</v>
      </c>
      <c r="D137" s="40" t="s">
        <v>255</v>
      </c>
      <c r="E137" s="40"/>
      <c r="F137" s="40"/>
      <c r="G137" s="40" t="s">
        <v>1626</v>
      </c>
      <c r="H137" s="115" t="s">
        <v>181</v>
      </c>
      <c r="I137" s="59" t="s">
        <v>182</v>
      </c>
      <c r="J137" s="59" t="str">
        <f t="shared" si="5"/>
        <v>143_40.0</v>
      </c>
      <c r="K137" s="59"/>
      <c r="L137" s="59"/>
    </row>
    <row r="138" spans="1:12" x14ac:dyDescent="0.4">
      <c r="A138" s="37" t="s">
        <v>678</v>
      </c>
      <c r="B138" s="38" t="s">
        <v>132</v>
      </c>
      <c r="C138" s="42">
        <v>3</v>
      </c>
      <c r="D138" s="38" t="s">
        <v>272</v>
      </c>
      <c r="E138" s="38"/>
      <c r="F138" s="38"/>
      <c r="G138" s="38" t="s">
        <v>1624</v>
      </c>
      <c r="H138" s="116" t="s">
        <v>1608</v>
      </c>
      <c r="I138" s="60" t="s">
        <v>183</v>
      </c>
      <c r="J138" s="60" t="str">
        <f t="shared" si="5"/>
        <v>144_70</v>
      </c>
      <c r="K138" s="60"/>
      <c r="L138" s="60"/>
    </row>
    <row r="139" spans="1:12" x14ac:dyDescent="0.4">
      <c r="A139" s="37" t="s">
        <v>678</v>
      </c>
      <c r="B139" s="38" t="s">
        <v>132</v>
      </c>
      <c r="C139" s="42">
        <v>3</v>
      </c>
      <c r="D139" s="38"/>
      <c r="E139" s="38"/>
      <c r="F139" s="38"/>
      <c r="G139" s="38" t="s">
        <v>1624</v>
      </c>
      <c r="H139" s="116" t="s">
        <v>1609</v>
      </c>
      <c r="I139" s="60" t="s">
        <v>184</v>
      </c>
      <c r="J139" s="60" t="str">
        <f t="shared" si="5"/>
        <v>144_80</v>
      </c>
      <c r="K139" s="60"/>
      <c r="L139" s="60"/>
    </row>
    <row r="140" spans="1:12" x14ac:dyDescent="0.4">
      <c r="A140" s="37" t="s">
        <v>678</v>
      </c>
      <c r="B140" s="38" t="s">
        <v>132</v>
      </c>
      <c r="C140" s="42">
        <v>3</v>
      </c>
      <c r="D140" s="40"/>
      <c r="E140" s="40"/>
      <c r="F140" s="40"/>
      <c r="G140" s="40" t="s">
        <v>1624</v>
      </c>
      <c r="H140" s="115" t="s">
        <v>1610</v>
      </c>
      <c r="I140" s="59" t="s">
        <v>185</v>
      </c>
      <c r="J140" s="59" t="str">
        <f t="shared" si="5"/>
        <v>144_90</v>
      </c>
      <c r="K140" s="59"/>
      <c r="L140" s="59"/>
    </row>
    <row r="141" spans="1:12" x14ac:dyDescent="0.4">
      <c r="A141" s="37" t="s">
        <v>679</v>
      </c>
      <c r="B141" s="38" t="s">
        <v>132</v>
      </c>
      <c r="C141" s="42">
        <v>3</v>
      </c>
      <c r="D141" s="38" t="s">
        <v>256</v>
      </c>
      <c r="E141" s="38"/>
      <c r="F141" s="38"/>
      <c r="G141" s="38" t="s">
        <v>1621</v>
      </c>
      <c r="H141" s="116" t="s">
        <v>1622</v>
      </c>
      <c r="I141" s="38" t="s">
        <v>213</v>
      </c>
      <c r="J141" s="38" t="str">
        <f t="shared" si="5"/>
        <v>154_評価しない</v>
      </c>
      <c r="K141" s="38"/>
      <c r="L141" s="38"/>
    </row>
    <row r="142" spans="1:12" x14ac:dyDescent="0.4">
      <c r="A142" s="37" t="s">
        <v>679</v>
      </c>
      <c r="B142" s="38" t="s">
        <v>132</v>
      </c>
      <c r="C142" s="42">
        <v>3</v>
      </c>
      <c r="D142" s="40"/>
      <c r="E142" s="40"/>
      <c r="F142" s="40"/>
      <c r="G142" s="40" t="s">
        <v>1621</v>
      </c>
      <c r="H142" s="115" t="s">
        <v>1623</v>
      </c>
      <c r="I142" s="40" t="s">
        <v>214</v>
      </c>
      <c r="J142" s="40" t="str">
        <f t="shared" si="5"/>
        <v>154_評価する</v>
      </c>
      <c r="K142" s="40"/>
      <c r="L142" s="40"/>
    </row>
    <row r="143" spans="1:12" x14ac:dyDescent="0.4">
      <c r="A143" s="37" t="s">
        <v>680</v>
      </c>
      <c r="B143" s="38" t="s">
        <v>132</v>
      </c>
      <c r="C143" s="42">
        <v>3</v>
      </c>
      <c r="D143" s="38" t="s">
        <v>257</v>
      </c>
      <c r="E143" s="38"/>
      <c r="F143" s="38"/>
      <c r="G143" s="38" t="s">
        <v>1629</v>
      </c>
      <c r="H143" s="116" t="s">
        <v>1192</v>
      </c>
      <c r="I143" s="38" t="s">
        <v>215</v>
      </c>
      <c r="J143" s="38" t="str">
        <f t="shared" si="5"/>
        <v>156_評価しない、または採用しない</v>
      </c>
      <c r="K143" s="38"/>
      <c r="L143" s="38"/>
    </row>
    <row r="144" spans="1:12" x14ac:dyDescent="0.4">
      <c r="A144" s="37" t="s">
        <v>680</v>
      </c>
      <c r="B144" s="38" t="s">
        <v>132</v>
      </c>
      <c r="C144" s="42">
        <v>3</v>
      </c>
      <c r="D144" s="40"/>
      <c r="E144" s="40"/>
      <c r="F144" s="40"/>
      <c r="G144" s="40" t="s">
        <v>1629</v>
      </c>
      <c r="H144" s="115" t="s">
        <v>1515</v>
      </c>
      <c r="I144" s="40" t="s">
        <v>216</v>
      </c>
      <c r="J144" s="40" t="str">
        <f t="shared" si="5"/>
        <v>156_採用する</v>
      </c>
      <c r="K144" s="40"/>
      <c r="L144" s="40"/>
    </row>
    <row r="145" spans="1:12" x14ac:dyDescent="0.4">
      <c r="A145" s="37" t="s">
        <v>681</v>
      </c>
      <c r="B145" s="38" t="s">
        <v>132</v>
      </c>
      <c r="C145" s="42">
        <v>3</v>
      </c>
      <c r="D145" s="40" t="s">
        <v>258</v>
      </c>
      <c r="E145" s="40"/>
      <c r="F145" s="40"/>
      <c r="G145" s="40" t="s">
        <v>1630</v>
      </c>
      <c r="H145" s="115">
        <v>12.5</v>
      </c>
      <c r="I145" s="63">
        <v>12.5</v>
      </c>
      <c r="J145" s="63" t="str">
        <f t="shared" si="5"/>
        <v>158_12.5</v>
      </c>
      <c r="K145" s="63"/>
      <c r="L145" s="63"/>
    </row>
    <row r="146" spans="1:12" x14ac:dyDescent="0.4">
      <c r="A146" s="37" t="s">
        <v>682</v>
      </c>
      <c r="B146" s="38" t="s">
        <v>132</v>
      </c>
      <c r="C146" s="42">
        <v>3</v>
      </c>
      <c r="D146" s="40" t="s">
        <v>259</v>
      </c>
      <c r="E146" s="40"/>
      <c r="F146" s="40"/>
      <c r="G146" s="40" t="s">
        <v>1142</v>
      </c>
      <c r="H146" s="115">
        <v>63.7</v>
      </c>
      <c r="I146" s="63">
        <v>63.7</v>
      </c>
      <c r="J146" s="63" t="str">
        <f t="shared" si="5"/>
        <v>159_63.7</v>
      </c>
      <c r="K146" s="63"/>
      <c r="L146" s="63"/>
    </row>
    <row r="147" spans="1:12" x14ac:dyDescent="0.4">
      <c r="A147" s="37" t="s">
        <v>683</v>
      </c>
      <c r="B147" s="38" t="s">
        <v>132</v>
      </c>
      <c r="C147" s="42">
        <v>3</v>
      </c>
      <c r="D147" s="43" t="s">
        <v>260</v>
      </c>
      <c r="E147" s="43"/>
      <c r="F147" s="43"/>
      <c r="G147" s="43" t="s">
        <v>1631</v>
      </c>
      <c r="H147" s="117">
        <v>155</v>
      </c>
      <c r="I147" s="65">
        <v>155</v>
      </c>
      <c r="J147" s="65" t="str">
        <f t="shared" si="5"/>
        <v>160_155</v>
      </c>
      <c r="K147" s="65"/>
      <c r="L147" s="65"/>
    </row>
    <row r="148" spans="1:12" x14ac:dyDescent="0.4">
      <c r="A148" s="37" t="s">
        <v>684</v>
      </c>
      <c r="B148" s="38" t="s">
        <v>132</v>
      </c>
      <c r="C148" s="42">
        <v>3</v>
      </c>
      <c r="D148" s="40" t="s">
        <v>261</v>
      </c>
      <c r="E148" s="40"/>
      <c r="F148" s="40"/>
      <c r="G148" s="40" t="s">
        <v>1632</v>
      </c>
      <c r="H148" s="115">
        <v>134</v>
      </c>
      <c r="I148" s="64">
        <v>134</v>
      </c>
      <c r="J148" s="64" t="str">
        <f t="shared" si="5"/>
        <v>161_134</v>
      </c>
      <c r="K148" s="64"/>
      <c r="L148" s="64"/>
    </row>
    <row r="149" spans="1:12" x14ac:dyDescent="0.4">
      <c r="A149" s="37" t="s">
        <v>685</v>
      </c>
      <c r="B149" s="38" t="s">
        <v>132</v>
      </c>
      <c r="C149" s="45">
        <v>3</v>
      </c>
      <c r="D149" s="40" t="s">
        <v>262</v>
      </c>
      <c r="E149" s="40"/>
      <c r="F149" s="40"/>
      <c r="G149" s="40" t="s">
        <v>1635</v>
      </c>
      <c r="H149" s="115"/>
      <c r="I149" s="40" t="s">
        <v>221</v>
      </c>
      <c r="J149" s="40" t="str">
        <f t="shared" si="5"/>
        <v>162_（その他の暖房機器の名称）</v>
      </c>
      <c r="K149" s="40"/>
      <c r="L149" s="40"/>
    </row>
    <row r="150" spans="1:12" x14ac:dyDescent="0.4">
      <c r="A150" s="37" t="s">
        <v>686</v>
      </c>
      <c r="B150" s="38" t="s">
        <v>132</v>
      </c>
      <c r="C150" s="42">
        <v>4</v>
      </c>
      <c r="D150" s="38" t="s">
        <v>57</v>
      </c>
      <c r="E150" s="38"/>
      <c r="F150" s="38"/>
      <c r="G150" s="38" t="s">
        <v>1634</v>
      </c>
      <c r="H150" s="116" t="s">
        <v>1637</v>
      </c>
      <c r="I150" s="58" t="s">
        <v>58</v>
      </c>
      <c r="J150" s="38" t="str">
        <f t="shared" si="5"/>
        <v>163_ガス従来型温水暖房機</v>
      </c>
      <c r="K150" s="38"/>
      <c r="L150" s="38"/>
    </row>
    <row r="151" spans="1:12" x14ac:dyDescent="0.4">
      <c r="A151" s="37" t="s">
        <v>686</v>
      </c>
      <c r="B151" s="38" t="s">
        <v>132</v>
      </c>
      <c r="C151" s="42">
        <v>4</v>
      </c>
      <c r="D151" s="38"/>
      <c r="E151" s="38"/>
      <c r="F151" s="38"/>
      <c r="G151" s="38" t="s">
        <v>1634</v>
      </c>
      <c r="H151" s="116" t="s">
        <v>1638</v>
      </c>
      <c r="I151" s="38" t="s">
        <v>59</v>
      </c>
      <c r="J151" s="38" t="str">
        <f t="shared" si="5"/>
        <v>163_ガス潜熱回収型温水暖房機</v>
      </c>
      <c r="K151" s="38"/>
      <c r="L151" s="38"/>
    </row>
    <row r="152" spans="1:12" x14ac:dyDescent="0.4">
      <c r="A152" s="37" t="s">
        <v>686</v>
      </c>
      <c r="B152" s="38" t="s">
        <v>132</v>
      </c>
      <c r="C152" s="42">
        <v>4</v>
      </c>
      <c r="D152" s="38"/>
      <c r="E152" s="38"/>
      <c r="F152" s="38"/>
      <c r="G152" s="38" t="s">
        <v>1634</v>
      </c>
      <c r="H152" s="116" t="s">
        <v>1639</v>
      </c>
      <c r="I152" s="38" t="s">
        <v>60</v>
      </c>
      <c r="J152" s="38" t="str">
        <f t="shared" si="5"/>
        <v>163_石油従来型温水暖房機</v>
      </c>
      <c r="K152" s="38"/>
      <c r="L152" s="38"/>
    </row>
    <row r="153" spans="1:12" x14ac:dyDescent="0.4">
      <c r="A153" s="37" t="s">
        <v>686</v>
      </c>
      <c r="B153" s="38" t="s">
        <v>132</v>
      </c>
      <c r="C153" s="42">
        <v>4</v>
      </c>
      <c r="D153" s="38"/>
      <c r="E153" s="38"/>
      <c r="F153" s="38"/>
      <c r="G153" s="38" t="s">
        <v>1634</v>
      </c>
      <c r="H153" s="116" t="s">
        <v>1640</v>
      </c>
      <c r="I153" s="38" t="s">
        <v>61</v>
      </c>
      <c r="J153" s="38" t="str">
        <f t="shared" si="5"/>
        <v>163_石油潜熱回収型温水暖房機</v>
      </c>
      <c r="K153" s="38"/>
      <c r="L153" s="38"/>
    </row>
    <row r="154" spans="1:12" x14ac:dyDescent="0.4">
      <c r="A154" s="37" t="s">
        <v>686</v>
      </c>
      <c r="B154" s="38" t="s">
        <v>132</v>
      </c>
      <c r="C154" s="42">
        <v>4</v>
      </c>
      <c r="D154" s="38"/>
      <c r="E154" s="38"/>
      <c r="F154" s="38"/>
      <c r="G154" s="38" t="s">
        <v>1634</v>
      </c>
      <c r="H154" s="116" t="s">
        <v>1154</v>
      </c>
      <c r="I154" s="38" t="s">
        <v>1636</v>
      </c>
      <c r="J154" s="38" t="str">
        <f t="shared" si="5"/>
        <v>163_電気ヒートポンプ温水暖房機（フロン系冷媒）</v>
      </c>
      <c r="K154" s="38"/>
      <c r="L154" s="38"/>
    </row>
    <row r="155" spans="1:12" x14ac:dyDescent="0.4">
      <c r="A155" s="37" t="s">
        <v>686</v>
      </c>
      <c r="B155" s="38" t="s">
        <v>132</v>
      </c>
      <c r="C155" s="42">
        <v>4</v>
      </c>
      <c r="D155" s="38"/>
      <c r="E155" s="38"/>
      <c r="F155" s="38"/>
      <c r="G155" s="38" t="s">
        <v>1634</v>
      </c>
      <c r="H155" s="116" t="s">
        <v>1641</v>
      </c>
      <c r="I155" s="38" t="s">
        <v>62</v>
      </c>
      <c r="J155" s="38" t="str">
        <f t="shared" si="5"/>
        <v>163_電気ヒーター温水暖房機</v>
      </c>
      <c r="K155" s="38"/>
      <c r="L155" s="38"/>
    </row>
    <row r="156" spans="1:12" x14ac:dyDescent="0.4">
      <c r="A156" s="37" t="s">
        <v>686</v>
      </c>
      <c r="B156" s="38" t="s">
        <v>132</v>
      </c>
      <c r="C156" s="42">
        <v>4</v>
      </c>
      <c r="D156" s="38"/>
      <c r="E156" s="38"/>
      <c r="F156" s="38"/>
      <c r="G156" s="38" t="s">
        <v>1634</v>
      </c>
      <c r="H156" s="116" t="s">
        <v>1642</v>
      </c>
      <c r="I156" s="38" t="s">
        <v>63</v>
      </c>
      <c r="J156" s="38" t="str">
        <f t="shared" si="5"/>
        <v>163_地中熱ヒートポンプ温水暖房機</v>
      </c>
      <c r="K156" s="38"/>
      <c r="L156" s="38"/>
    </row>
    <row r="157" spans="1:12" x14ac:dyDescent="0.4">
      <c r="A157" s="37" t="s">
        <v>686</v>
      </c>
      <c r="B157" s="38" t="s">
        <v>132</v>
      </c>
      <c r="C157" s="42">
        <v>4</v>
      </c>
      <c r="D157" s="38"/>
      <c r="E157" s="38"/>
      <c r="F157" s="38"/>
      <c r="G157" s="38" t="s">
        <v>1634</v>
      </c>
      <c r="H157" s="116" t="s">
        <v>1643</v>
      </c>
      <c r="I157" s="38" t="s">
        <v>64</v>
      </c>
      <c r="J157" s="38" t="str">
        <f t="shared" si="5"/>
        <v>163_給湯・温水暖房一体型</v>
      </c>
      <c r="K157" s="38"/>
      <c r="L157" s="38"/>
    </row>
    <row r="158" spans="1:12" x14ac:dyDescent="0.4">
      <c r="A158" s="37" t="s">
        <v>686</v>
      </c>
      <c r="B158" s="38" t="s">
        <v>132</v>
      </c>
      <c r="C158" s="42">
        <v>4</v>
      </c>
      <c r="D158" s="38"/>
      <c r="E158" s="38"/>
      <c r="F158" s="38"/>
      <c r="G158" s="38" t="s">
        <v>1634</v>
      </c>
      <c r="H158" s="116" t="s">
        <v>1644</v>
      </c>
      <c r="I158" s="38" t="s">
        <v>65</v>
      </c>
      <c r="J158" s="38" t="str">
        <f t="shared" si="5"/>
        <v>163_コージェネレーション</v>
      </c>
      <c r="K158" s="38"/>
      <c r="L158" s="38"/>
    </row>
    <row r="159" spans="1:12" x14ac:dyDescent="0.4">
      <c r="A159" s="37" t="s">
        <v>686</v>
      </c>
      <c r="B159" s="38" t="s">
        <v>132</v>
      </c>
      <c r="C159" s="42">
        <v>4</v>
      </c>
      <c r="D159" s="38"/>
      <c r="E159" s="38"/>
      <c r="F159" s="38"/>
      <c r="G159" s="38" t="s">
        <v>1634</v>
      </c>
      <c r="H159" s="116" t="s">
        <v>1645</v>
      </c>
      <c r="I159" s="38" t="s">
        <v>66</v>
      </c>
      <c r="J159" s="38" t="str">
        <f t="shared" si="5"/>
        <v>163_その他の温水暖房機</v>
      </c>
      <c r="K159" s="38"/>
      <c r="L159" s="38"/>
    </row>
    <row r="160" spans="1:12" x14ac:dyDescent="0.4">
      <c r="A160" s="37" t="s">
        <v>686</v>
      </c>
      <c r="B160" s="38" t="s">
        <v>132</v>
      </c>
      <c r="C160" s="42">
        <v>4</v>
      </c>
      <c r="D160" s="38"/>
      <c r="E160" s="38"/>
      <c r="F160" s="38"/>
      <c r="G160" s="38" t="s">
        <v>1634</v>
      </c>
      <c r="H160" s="116" t="s">
        <v>1646</v>
      </c>
      <c r="I160" s="38" t="s">
        <v>973</v>
      </c>
      <c r="J160" s="38" t="str">
        <f t="shared" si="5"/>
        <v>163_基準値の算定において想定される機器（増改築部分を対象に評価する場合の基準設定仕様</v>
      </c>
      <c r="K160" s="38"/>
      <c r="L160" s="38"/>
    </row>
    <row r="161" spans="1:12" x14ac:dyDescent="0.4">
      <c r="A161" s="37" t="s">
        <v>686</v>
      </c>
      <c r="B161" s="38" t="s">
        <v>132</v>
      </c>
      <c r="C161" s="42">
        <v>4</v>
      </c>
      <c r="D161" s="40"/>
      <c r="E161" s="40"/>
      <c r="F161" s="40"/>
      <c r="G161" s="40" t="s">
        <v>1634</v>
      </c>
      <c r="H161" s="115" t="s">
        <v>1647</v>
      </c>
      <c r="I161" s="40" t="s">
        <v>67</v>
      </c>
      <c r="J161" s="40" t="str">
        <f t="shared" si="5"/>
        <v>163_温水暖房機を設置しない</v>
      </c>
      <c r="K161" s="40"/>
      <c r="L161" s="40"/>
    </row>
    <row r="162" spans="1:12" x14ac:dyDescent="0.4">
      <c r="A162" s="37" t="s">
        <v>687</v>
      </c>
      <c r="B162" s="38" t="s">
        <v>132</v>
      </c>
      <c r="C162" s="42">
        <v>4</v>
      </c>
      <c r="D162" s="38" t="s">
        <v>68</v>
      </c>
      <c r="E162" s="38"/>
      <c r="F162" s="38"/>
      <c r="G162" s="38" t="s">
        <v>1142</v>
      </c>
      <c r="H162" s="116"/>
      <c r="I162" s="38" t="s">
        <v>1565</v>
      </c>
      <c r="J162" s="38" t="str">
        <f t="shared" si="5"/>
        <v>175_入力しない（規定値を用いる）</v>
      </c>
      <c r="K162" s="38"/>
      <c r="L162" s="38"/>
    </row>
    <row r="163" spans="1:12" x14ac:dyDescent="0.4">
      <c r="A163" s="37" t="s">
        <v>687</v>
      </c>
      <c r="B163" s="38" t="s">
        <v>132</v>
      </c>
      <c r="C163" s="42">
        <v>4</v>
      </c>
      <c r="D163" s="40"/>
      <c r="E163" s="40"/>
      <c r="F163" s="40"/>
      <c r="G163" s="40"/>
      <c r="H163" s="115"/>
      <c r="I163" s="40" t="s">
        <v>55</v>
      </c>
      <c r="J163" s="40" t="str">
        <f t="shared" si="5"/>
        <v>175_入力する</v>
      </c>
      <c r="K163" s="40"/>
      <c r="L163" s="40"/>
    </row>
    <row r="164" spans="1:12" x14ac:dyDescent="0.4">
      <c r="A164" s="37" t="s">
        <v>688</v>
      </c>
      <c r="B164" s="38" t="s">
        <v>132</v>
      </c>
      <c r="C164" s="42">
        <v>4</v>
      </c>
      <c r="D164" s="38" t="s">
        <v>180</v>
      </c>
      <c r="E164" s="38"/>
      <c r="F164" s="38"/>
      <c r="G164" s="38"/>
      <c r="H164" s="116" t="s">
        <v>222</v>
      </c>
      <c r="I164" s="60" t="s">
        <v>223</v>
      </c>
      <c r="J164" s="60" t="str">
        <f t="shared" si="5"/>
        <v>177_11.0</v>
      </c>
      <c r="K164" s="60"/>
      <c r="L164" s="60"/>
    </row>
    <row r="165" spans="1:12" x14ac:dyDescent="0.4">
      <c r="A165" s="37" t="s">
        <v>688</v>
      </c>
      <c r="B165" s="38" t="s">
        <v>132</v>
      </c>
      <c r="C165" s="42">
        <v>4</v>
      </c>
      <c r="D165" s="38"/>
      <c r="E165" s="38"/>
      <c r="F165" s="38"/>
      <c r="G165" s="38"/>
      <c r="H165" s="116" t="s">
        <v>1612</v>
      </c>
      <c r="I165" s="60" t="s">
        <v>224</v>
      </c>
      <c r="J165" s="60" t="str">
        <f t="shared" si="5"/>
        <v>177_21.0</v>
      </c>
      <c r="K165" s="60"/>
      <c r="L165" s="60"/>
    </row>
    <row r="166" spans="1:12" x14ac:dyDescent="0.4">
      <c r="A166" s="37" t="s">
        <v>688</v>
      </c>
      <c r="B166" s="38" t="s">
        <v>132</v>
      </c>
      <c r="C166" s="42">
        <v>4</v>
      </c>
      <c r="D166" s="38"/>
      <c r="E166" s="38"/>
      <c r="F166" s="38"/>
      <c r="G166" s="38"/>
      <c r="H166" s="116" t="s">
        <v>1613</v>
      </c>
      <c r="I166" s="60" t="s">
        <v>225</v>
      </c>
      <c r="J166" s="60" t="str">
        <f t="shared" si="5"/>
        <v>177_31.0</v>
      </c>
      <c r="K166" s="60"/>
      <c r="L166" s="60"/>
    </row>
    <row r="167" spans="1:12" x14ac:dyDescent="0.4">
      <c r="A167" s="37" t="s">
        <v>688</v>
      </c>
      <c r="B167" s="38" t="s">
        <v>132</v>
      </c>
      <c r="C167" s="42">
        <v>4</v>
      </c>
      <c r="D167" s="38"/>
      <c r="E167" s="38"/>
      <c r="F167" s="38"/>
      <c r="G167" s="38"/>
      <c r="H167" s="116" t="s">
        <v>1614</v>
      </c>
      <c r="I167" s="60" t="s">
        <v>226</v>
      </c>
      <c r="J167" s="60" t="str">
        <f t="shared" si="5"/>
        <v>177_41.0</v>
      </c>
      <c r="K167" s="60"/>
      <c r="L167" s="60"/>
    </row>
    <row r="168" spans="1:12" x14ac:dyDescent="0.4">
      <c r="A168" s="37" t="s">
        <v>688</v>
      </c>
      <c r="B168" s="38" t="s">
        <v>132</v>
      </c>
      <c r="C168" s="42">
        <v>4</v>
      </c>
      <c r="D168" s="38"/>
      <c r="E168" s="38"/>
      <c r="F168" s="38"/>
      <c r="G168" s="38"/>
      <c r="H168" s="116" t="s">
        <v>1615</v>
      </c>
      <c r="I168" s="60" t="s">
        <v>227</v>
      </c>
      <c r="J168" s="60" t="str">
        <f t="shared" si="5"/>
        <v>177_51.0</v>
      </c>
      <c r="K168" s="60"/>
      <c r="L168" s="60"/>
    </row>
    <row r="169" spans="1:12" x14ac:dyDescent="0.4">
      <c r="A169" s="37" t="s">
        <v>688</v>
      </c>
      <c r="B169" s="38" t="s">
        <v>132</v>
      </c>
      <c r="C169" s="42">
        <v>4</v>
      </c>
      <c r="D169" s="38"/>
      <c r="E169" s="38"/>
      <c r="F169" s="38"/>
      <c r="G169" s="38"/>
      <c r="H169" s="116" t="s">
        <v>1616</v>
      </c>
      <c r="I169" s="60" t="s">
        <v>228</v>
      </c>
      <c r="J169" s="60" t="str">
        <f t="shared" si="5"/>
        <v>177_61.0</v>
      </c>
      <c r="K169" s="60"/>
      <c r="L169" s="60"/>
    </row>
    <row r="170" spans="1:12" x14ac:dyDescent="0.4">
      <c r="A170" s="37" t="s">
        <v>688</v>
      </c>
      <c r="B170" s="38" t="s">
        <v>132</v>
      </c>
      <c r="C170" s="42">
        <v>4</v>
      </c>
      <c r="D170" s="38"/>
      <c r="E170" s="38"/>
      <c r="F170" s="38"/>
      <c r="G170" s="38"/>
      <c r="H170" s="116" t="s">
        <v>1617</v>
      </c>
      <c r="I170" s="60" t="s">
        <v>229</v>
      </c>
      <c r="J170" s="60" t="str">
        <f t="shared" si="5"/>
        <v>177_71.0</v>
      </c>
      <c r="K170" s="60"/>
      <c r="L170" s="60"/>
    </row>
    <row r="171" spans="1:12" x14ac:dyDescent="0.4">
      <c r="A171" s="37" t="s">
        <v>688</v>
      </c>
      <c r="B171" s="38" t="s">
        <v>132</v>
      </c>
      <c r="C171" s="42">
        <v>4</v>
      </c>
      <c r="D171" s="38"/>
      <c r="E171" s="38"/>
      <c r="F171" s="38"/>
      <c r="G171" s="38"/>
      <c r="H171" s="116" t="s">
        <v>1618</v>
      </c>
      <c r="I171" s="60" t="s">
        <v>230</v>
      </c>
      <c r="J171" s="60" t="str">
        <f t="shared" si="5"/>
        <v>177_81.0</v>
      </c>
      <c r="K171" s="60"/>
      <c r="L171" s="60"/>
    </row>
    <row r="172" spans="1:12" x14ac:dyDescent="0.4">
      <c r="A172" s="37" t="s">
        <v>688</v>
      </c>
      <c r="B172" s="38" t="s">
        <v>132</v>
      </c>
      <c r="C172" s="42">
        <v>4</v>
      </c>
      <c r="D172" s="38"/>
      <c r="E172" s="38"/>
      <c r="F172" s="38"/>
      <c r="G172" s="38"/>
      <c r="H172" s="116" t="s">
        <v>1619</v>
      </c>
      <c r="I172" s="60" t="s">
        <v>231</v>
      </c>
      <c r="J172" s="60" t="str">
        <f t="shared" si="5"/>
        <v>177_91.0</v>
      </c>
      <c r="K172" s="60"/>
      <c r="L172" s="60"/>
    </row>
    <row r="173" spans="1:12" x14ac:dyDescent="0.4">
      <c r="A173" s="37" t="s">
        <v>688</v>
      </c>
      <c r="B173" s="38" t="s">
        <v>132</v>
      </c>
      <c r="C173" s="42">
        <v>4</v>
      </c>
      <c r="D173" s="40"/>
      <c r="E173" s="40"/>
      <c r="F173" s="40"/>
      <c r="G173" s="40"/>
      <c r="H173" s="115" t="s">
        <v>1611</v>
      </c>
      <c r="I173" s="59" t="s">
        <v>186</v>
      </c>
      <c r="J173" s="59" t="str">
        <f t="shared" si="5"/>
        <v>177_100</v>
      </c>
      <c r="K173" s="59"/>
      <c r="L173" s="59"/>
    </row>
    <row r="174" spans="1:12" x14ac:dyDescent="0.4">
      <c r="A174" s="37" t="s">
        <v>689</v>
      </c>
      <c r="B174" s="38" t="s">
        <v>132</v>
      </c>
      <c r="C174" s="42">
        <v>4</v>
      </c>
      <c r="D174" s="38" t="s">
        <v>217</v>
      </c>
      <c r="E174" s="38"/>
      <c r="F174" s="38"/>
      <c r="G174" s="38"/>
      <c r="H174" s="116"/>
      <c r="I174" s="38" t="s">
        <v>1565</v>
      </c>
      <c r="J174" s="38" t="str">
        <f t="shared" si="5"/>
        <v>187_入力しない（規定値を用いる）</v>
      </c>
      <c r="K174" s="38"/>
      <c r="L174" s="38"/>
    </row>
    <row r="175" spans="1:12" x14ac:dyDescent="0.4">
      <c r="A175" s="37" t="s">
        <v>689</v>
      </c>
      <c r="B175" s="38" t="s">
        <v>132</v>
      </c>
      <c r="C175" s="42">
        <v>4</v>
      </c>
      <c r="D175" s="40"/>
      <c r="E175" s="40"/>
      <c r="F175" s="40"/>
      <c r="G175" s="40"/>
      <c r="H175" s="115"/>
      <c r="I175" s="40" t="s">
        <v>55</v>
      </c>
      <c r="J175" s="40" t="str">
        <f t="shared" si="5"/>
        <v>187_入力する</v>
      </c>
      <c r="K175" s="40"/>
      <c r="L175" s="40"/>
    </row>
    <row r="176" spans="1:12" x14ac:dyDescent="0.4">
      <c r="A176" s="37" t="s">
        <v>690</v>
      </c>
      <c r="B176" s="38" t="s">
        <v>132</v>
      </c>
      <c r="C176" s="42">
        <v>4</v>
      </c>
      <c r="D176" s="38" t="s">
        <v>218</v>
      </c>
      <c r="E176" s="38"/>
      <c r="F176" s="38"/>
      <c r="G176" s="38"/>
      <c r="H176" s="116"/>
      <c r="I176" s="38">
        <v>1</v>
      </c>
      <c r="J176" s="38" t="str">
        <f t="shared" si="5"/>
        <v>189_1</v>
      </c>
      <c r="K176" s="38"/>
      <c r="L176" s="38"/>
    </row>
    <row r="177" spans="1:12" x14ac:dyDescent="0.4">
      <c r="A177" s="37" t="s">
        <v>690</v>
      </c>
      <c r="B177" s="38" t="s">
        <v>132</v>
      </c>
      <c r="C177" s="42">
        <v>4</v>
      </c>
      <c r="D177" s="38"/>
      <c r="E177" s="38"/>
      <c r="F177" s="38"/>
      <c r="G177" s="38"/>
      <c r="H177" s="116"/>
      <c r="I177" s="38">
        <v>2</v>
      </c>
      <c r="J177" s="38" t="str">
        <f t="shared" si="5"/>
        <v>189_2</v>
      </c>
      <c r="K177" s="38"/>
      <c r="L177" s="38"/>
    </row>
    <row r="178" spans="1:12" x14ac:dyDescent="0.4">
      <c r="A178" s="37" t="s">
        <v>690</v>
      </c>
      <c r="B178" s="38" t="s">
        <v>132</v>
      </c>
      <c r="C178" s="42">
        <v>4</v>
      </c>
      <c r="D178" s="38"/>
      <c r="E178" s="38"/>
      <c r="F178" s="38"/>
      <c r="G178" s="38"/>
      <c r="H178" s="116"/>
      <c r="I178" s="38">
        <v>3</v>
      </c>
      <c r="J178" s="38" t="str">
        <f t="shared" si="5"/>
        <v>189_3</v>
      </c>
      <c r="K178" s="38"/>
      <c r="L178" s="38"/>
    </row>
    <row r="179" spans="1:12" x14ac:dyDescent="0.4">
      <c r="A179" s="37" t="s">
        <v>690</v>
      </c>
      <c r="B179" s="38" t="s">
        <v>132</v>
      </c>
      <c r="C179" s="42">
        <v>4</v>
      </c>
      <c r="D179" s="38"/>
      <c r="E179" s="38"/>
      <c r="F179" s="38"/>
      <c r="G179" s="38"/>
      <c r="H179" s="116"/>
      <c r="I179" s="38">
        <v>4</v>
      </c>
      <c r="J179" s="38" t="str">
        <f t="shared" si="5"/>
        <v>189_4</v>
      </c>
      <c r="K179" s="38"/>
      <c r="L179" s="38"/>
    </row>
    <row r="180" spans="1:12" x14ac:dyDescent="0.4">
      <c r="A180" s="37" t="s">
        <v>690</v>
      </c>
      <c r="B180" s="38" t="s">
        <v>132</v>
      </c>
      <c r="C180" s="42">
        <v>4</v>
      </c>
      <c r="D180" s="40"/>
      <c r="E180" s="40"/>
      <c r="F180" s="40"/>
      <c r="G180" s="40"/>
      <c r="H180" s="115"/>
      <c r="I180" s="40">
        <v>5</v>
      </c>
      <c r="J180" s="40" t="str">
        <f t="shared" ref="J180:J243" si="6">A180&amp;"_"&amp;I180</f>
        <v>189_5</v>
      </c>
      <c r="K180" s="40"/>
      <c r="L180" s="40"/>
    </row>
    <row r="181" spans="1:12" x14ac:dyDescent="0.4">
      <c r="A181" s="37" t="s">
        <v>691</v>
      </c>
      <c r="B181" s="38" t="s">
        <v>132</v>
      </c>
      <c r="C181" s="42">
        <v>4</v>
      </c>
      <c r="D181" s="43" t="s">
        <v>219</v>
      </c>
      <c r="E181" s="43"/>
      <c r="F181" s="43"/>
      <c r="G181" s="43"/>
      <c r="H181" s="117"/>
      <c r="I181" s="43" t="s">
        <v>220</v>
      </c>
      <c r="J181" s="43" t="str">
        <f t="shared" si="6"/>
        <v>194_（その他の温水暖房機の名称）</v>
      </c>
      <c r="K181" s="43"/>
      <c r="L181" s="43"/>
    </row>
    <row r="182" spans="1:12" x14ac:dyDescent="0.4">
      <c r="A182" s="37" t="s">
        <v>692</v>
      </c>
      <c r="B182" s="38" t="s">
        <v>132</v>
      </c>
      <c r="C182" s="42">
        <v>4</v>
      </c>
      <c r="D182" s="38" t="s">
        <v>69</v>
      </c>
      <c r="E182" s="38"/>
      <c r="F182" s="38"/>
      <c r="G182" s="38" t="s">
        <v>1629</v>
      </c>
      <c r="H182" s="116" t="s">
        <v>1192</v>
      </c>
      <c r="I182" s="38" t="s">
        <v>70</v>
      </c>
      <c r="J182" s="38" t="str">
        <f t="shared" si="6"/>
        <v>195_評価しない、または採用しない</v>
      </c>
      <c r="K182" s="38"/>
      <c r="L182" s="38"/>
    </row>
    <row r="183" spans="1:12" x14ac:dyDescent="0.4">
      <c r="A183" s="37" t="s">
        <v>692</v>
      </c>
      <c r="B183" s="38" t="s">
        <v>132</v>
      </c>
      <c r="C183" s="42">
        <v>4</v>
      </c>
      <c r="D183" s="40"/>
      <c r="E183" s="40"/>
      <c r="F183" s="40"/>
      <c r="G183" s="40" t="s">
        <v>1629</v>
      </c>
      <c r="H183" s="115" t="s">
        <v>1515</v>
      </c>
      <c r="I183" s="40" t="s">
        <v>71</v>
      </c>
      <c r="J183" s="40" t="str">
        <f t="shared" si="6"/>
        <v>195_採用する</v>
      </c>
      <c r="K183" s="40"/>
      <c r="L183" s="40"/>
    </row>
    <row r="184" spans="1:12" x14ac:dyDescent="0.4">
      <c r="A184" s="37" t="s">
        <v>693</v>
      </c>
      <c r="B184" s="38" t="s">
        <v>132</v>
      </c>
      <c r="C184" s="42">
        <v>4</v>
      </c>
      <c r="D184" s="38" t="s">
        <v>72</v>
      </c>
      <c r="E184" s="38"/>
      <c r="F184" s="38"/>
      <c r="G184" s="38"/>
      <c r="H184" s="116" t="s">
        <v>1571</v>
      </c>
      <c r="I184" s="38" t="s">
        <v>73</v>
      </c>
      <c r="J184" s="38" t="str">
        <f t="shared" si="6"/>
        <v>197_評価しない、または全てもしくは一部が断熱区画外である</v>
      </c>
      <c r="K184" s="38"/>
      <c r="L184" s="38"/>
    </row>
    <row r="185" spans="1:12" x14ac:dyDescent="0.4">
      <c r="A185" s="37" t="s">
        <v>693</v>
      </c>
      <c r="B185" s="38" t="s">
        <v>132</v>
      </c>
      <c r="C185" s="45">
        <v>4</v>
      </c>
      <c r="D185" s="40"/>
      <c r="E185" s="40"/>
      <c r="F185" s="40"/>
      <c r="G185" s="40"/>
      <c r="H185" s="115" t="s">
        <v>1572</v>
      </c>
      <c r="I185" s="40" t="s">
        <v>74</v>
      </c>
      <c r="J185" s="40" t="str">
        <f t="shared" si="6"/>
        <v>197_全て断熱区画内である</v>
      </c>
      <c r="K185" s="40"/>
      <c r="L185" s="40"/>
    </row>
    <row r="186" spans="1:12" x14ac:dyDescent="0.4">
      <c r="A186" s="37" t="s">
        <v>694</v>
      </c>
      <c r="B186" s="38" t="s">
        <v>132</v>
      </c>
      <c r="C186" s="42">
        <v>5</v>
      </c>
      <c r="D186" s="40" t="s">
        <v>75</v>
      </c>
      <c r="E186" s="40"/>
      <c r="F186" s="40" t="s">
        <v>1567</v>
      </c>
      <c r="G186" s="40"/>
      <c r="H186" s="115" t="s">
        <v>1567</v>
      </c>
      <c r="I186" s="40" t="s">
        <v>1591</v>
      </c>
      <c r="J186" s="40" t="str">
        <f t="shared" si="6"/>
        <v>199_ダクト式セントラル空調機（ヒートポンプ式熱源）</v>
      </c>
      <c r="K186" s="40"/>
      <c r="L186" s="40"/>
    </row>
    <row r="187" spans="1:12" x14ac:dyDescent="0.4">
      <c r="A187" s="37" t="s">
        <v>695</v>
      </c>
      <c r="B187" s="38" t="s">
        <v>132</v>
      </c>
      <c r="C187" s="42">
        <v>5</v>
      </c>
      <c r="D187" s="38" t="s">
        <v>77</v>
      </c>
      <c r="E187" s="38"/>
      <c r="F187" s="38"/>
      <c r="G187" s="38" t="s">
        <v>1570</v>
      </c>
      <c r="H187" s="116" t="s">
        <v>1574</v>
      </c>
      <c r="I187" s="38" t="s">
        <v>73</v>
      </c>
      <c r="J187" s="38" t="str">
        <f t="shared" si="6"/>
        <v>200_評価しない、または全てもしくは一部が断熱区画外である</v>
      </c>
      <c r="K187" s="38"/>
      <c r="L187" s="38"/>
    </row>
    <row r="188" spans="1:12" x14ac:dyDescent="0.4">
      <c r="A188" s="37" t="s">
        <v>695</v>
      </c>
      <c r="B188" s="38" t="s">
        <v>132</v>
      </c>
      <c r="C188" s="42">
        <v>5</v>
      </c>
      <c r="D188" s="40"/>
      <c r="E188" s="40"/>
      <c r="F188" s="40"/>
      <c r="G188" s="40" t="s">
        <v>1570</v>
      </c>
      <c r="H188" s="115" t="s">
        <v>1573</v>
      </c>
      <c r="I188" s="40" t="s">
        <v>74</v>
      </c>
      <c r="J188" s="40" t="str">
        <f t="shared" si="6"/>
        <v>200_全て断熱区画内である</v>
      </c>
      <c r="K188" s="40"/>
      <c r="L188" s="40"/>
    </row>
    <row r="189" spans="1:12" x14ac:dyDescent="0.4">
      <c r="A189" s="37" t="s">
        <v>696</v>
      </c>
      <c r="B189" s="38" t="s">
        <v>132</v>
      </c>
      <c r="C189" s="42">
        <v>5</v>
      </c>
      <c r="D189" s="38" t="s">
        <v>78</v>
      </c>
      <c r="E189" s="38"/>
      <c r="F189" s="38"/>
      <c r="G189" s="38" t="s">
        <v>1569</v>
      </c>
      <c r="H189" s="116" t="s">
        <v>1551</v>
      </c>
      <c r="I189" s="38" t="s">
        <v>79</v>
      </c>
      <c r="J189" s="38" t="str">
        <f t="shared" si="6"/>
        <v>202_採用しない</v>
      </c>
      <c r="K189" s="38"/>
      <c r="L189" s="38"/>
    </row>
    <row r="190" spans="1:12" x14ac:dyDescent="0.4">
      <c r="A190" s="37" t="s">
        <v>696</v>
      </c>
      <c r="B190" s="38" t="s">
        <v>132</v>
      </c>
      <c r="C190" s="42">
        <v>5</v>
      </c>
      <c r="D190" s="40"/>
      <c r="E190" s="40"/>
      <c r="F190" s="40"/>
      <c r="G190" s="40" t="s">
        <v>1569</v>
      </c>
      <c r="H190" s="115" t="s">
        <v>1568</v>
      </c>
      <c r="I190" s="40" t="s">
        <v>71</v>
      </c>
      <c r="J190" s="40" t="str">
        <f t="shared" si="6"/>
        <v>202_採用する</v>
      </c>
      <c r="K190" s="40"/>
      <c r="L190" s="40"/>
    </row>
    <row r="191" spans="1:12" x14ac:dyDescent="0.4">
      <c r="A191" s="37" t="s">
        <v>697</v>
      </c>
      <c r="B191" s="38" t="s">
        <v>132</v>
      </c>
      <c r="C191" s="42">
        <v>5</v>
      </c>
      <c r="D191" s="38" t="s">
        <v>80</v>
      </c>
      <c r="E191" s="38"/>
      <c r="F191" s="38"/>
      <c r="G191" s="38" t="s">
        <v>1575</v>
      </c>
      <c r="H191" s="116" t="s">
        <v>1568</v>
      </c>
      <c r="I191" s="38" t="s">
        <v>81</v>
      </c>
      <c r="J191" s="38" t="str">
        <f t="shared" si="6"/>
        <v>204_全般換気機能あり</v>
      </c>
      <c r="K191" s="38"/>
      <c r="L191" s="38"/>
    </row>
    <row r="192" spans="1:12" x14ac:dyDescent="0.4">
      <c r="A192" s="37" t="s">
        <v>697</v>
      </c>
      <c r="B192" s="38" t="s">
        <v>132</v>
      </c>
      <c r="C192" s="42">
        <v>5</v>
      </c>
      <c r="D192" s="40"/>
      <c r="E192" s="40"/>
      <c r="F192" s="40"/>
      <c r="G192" s="40" t="s">
        <v>1575</v>
      </c>
      <c r="H192" s="115" t="s">
        <v>1551</v>
      </c>
      <c r="I192" s="40" t="s">
        <v>82</v>
      </c>
      <c r="J192" s="40" t="str">
        <f t="shared" si="6"/>
        <v>204_全般換気機能なし</v>
      </c>
      <c r="K192" s="40"/>
      <c r="L192" s="40"/>
    </row>
    <row r="193" spans="1:13" x14ac:dyDescent="0.4">
      <c r="A193" s="37" t="s">
        <v>698</v>
      </c>
      <c r="B193" s="38" t="s">
        <v>132</v>
      </c>
      <c r="C193" s="42">
        <v>5</v>
      </c>
      <c r="D193" s="38" t="s">
        <v>83</v>
      </c>
      <c r="E193" s="38"/>
      <c r="F193" s="38"/>
      <c r="G193" s="38" t="s">
        <v>1576</v>
      </c>
      <c r="H193" s="116" t="s">
        <v>1577</v>
      </c>
      <c r="I193" s="38" t="s">
        <v>1565</v>
      </c>
      <c r="J193" s="38" t="str">
        <f t="shared" si="6"/>
        <v>206_入力しない（規定値を用いる）</v>
      </c>
      <c r="K193" s="38"/>
      <c r="L193" s="38"/>
    </row>
    <row r="194" spans="1:13" x14ac:dyDescent="0.4">
      <c r="A194" s="37" t="s">
        <v>698</v>
      </c>
      <c r="B194" s="38" t="s">
        <v>132</v>
      </c>
      <c r="C194" s="42">
        <v>5</v>
      </c>
      <c r="D194" s="38"/>
      <c r="E194" s="38"/>
      <c r="F194" s="38"/>
      <c r="G194" s="38" t="s">
        <v>1576</v>
      </c>
      <c r="H194" s="116" t="s">
        <v>1578</v>
      </c>
      <c r="I194" s="38" t="s">
        <v>84</v>
      </c>
      <c r="J194" s="38" t="str">
        <f t="shared" si="6"/>
        <v>206_定格能力試験の値を入力する</v>
      </c>
      <c r="K194" s="38"/>
      <c r="L194" s="38"/>
    </row>
    <row r="195" spans="1:13" x14ac:dyDescent="0.4">
      <c r="A195" s="37" t="s">
        <v>698</v>
      </c>
      <c r="B195" s="38" t="s">
        <v>132</v>
      </c>
      <c r="C195" s="42">
        <v>5</v>
      </c>
      <c r="D195" s="40"/>
      <c r="E195" s="40"/>
      <c r="F195" s="40"/>
      <c r="G195" s="40" t="s">
        <v>1576</v>
      </c>
      <c r="H195" s="115" t="s">
        <v>1579</v>
      </c>
      <c r="I195" s="40" t="s">
        <v>85</v>
      </c>
      <c r="J195" s="40" t="str">
        <f t="shared" si="6"/>
        <v>206_定格能力試験と中間能力試験の値を入力する</v>
      </c>
      <c r="K195" s="40"/>
      <c r="L195" s="40"/>
    </row>
    <row r="196" spans="1:13" x14ac:dyDescent="0.4">
      <c r="A196" s="37" t="s">
        <v>699</v>
      </c>
      <c r="B196" s="38" t="s">
        <v>132</v>
      </c>
      <c r="C196" s="42">
        <v>5</v>
      </c>
      <c r="D196" s="40" t="s">
        <v>263</v>
      </c>
      <c r="E196" s="40"/>
      <c r="F196" s="40"/>
      <c r="G196" s="40" t="s">
        <v>1581</v>
      </c>
      <c r="H196" s="115">
        <v>99</v>
      </c>
      <c r="I196" s="40">
        <v>99</v>
      </c>
      <c r="J196" s="40" t="str">
        <f t="shared" si="6"/>
        <v>209_99</v>
      </c>
      <c r="K196" s="40"/>
      <c r="L196" s="40"/>
    </row>
    <row r="197" spans="1:13" x14ac:dyDescent="0.4">
      <c r="A197" s="37" t="s">
        <v>700</v>
      </c>
      <c r="B197" s="38" t="s">
        <v>132</v>
      </c>
      <c r="C197" s="42">
        <v>5</v>
      </c>
      <c r="D197" s="43" t="s">
        <v>264</v>
      </c>
      <c r="E197" s="43"/>
      <c r="F197" s="43"/>
      <c r="G197" s="43" t="s">
        <v>1580</v>
      </c>
      <c r="H197" s="117">
        <v>99</v>
      </c>
      <c r="I197" s="43">
        <v>99</v>
      </c>
      <c r="J197" s="43" t="str">
        <f t="shared" si="6"/>
        <v>210_99</v>
      </c>
      <c r="K197" s="43"/>
      <c r="L197" s="43"/>
    </row>
    <row r="198" spans="1:13" x14ac:dyDescent="0.4">
      <c r="A198" s="37" t="s">
        <v>701</v>
      </c>
      <c r="B198" s="38" t="s">
        <v>132</v>
      </c>
      <c r="C198" s="42">
        <v>5</v>
      </c>
      <c r="D198" s="40" t="s">
        <v>265</v>
      </c>
      <c r="E198" s="40"/>
      <c r="F198" s="40"/>
      <c r="G198" s="40" t="s">
        <v>1582</v>
      </c>
      <c r="H198" s="115">
        <v>99</v>
      </c>
      <c r="I198" s="40">
        <v>99</v>
      </c>
      <c r="J198" s="40" t="str">
        <f t="shared" si="6"/>
        <v>211_99</v>
      </c>
      <c r="K198" s="40"/>
      <c r="L198" s="40"/>
    </row>
    <row r="199" spans="1:13" x14ac:dyDescent="0.4">
      <c r="A199" s="37" t="s">
        <v>702</v>
      </c>
      <c r="B199" s="38" t="s">
        <v>132</v>
      </c>
      <c r="C199" s="42">
        <v>5</v>
      </c>
      <c r="D199" s="43" t="s">
        <v>266</v>
      </c>
      <c r="E199" s="43"/>
      <c r="F199" s="43"/>
      <c r="G199" s="43" t="s">
        <v>1583</v>
      </c>
      <c r="H199" s="117">
        <v>99</v>
      </c>
      <c r="I199" s="43">
        <v>99</v>
      </c>
      <c r="J199" s="43" t="str">
        <f t="shared" si="6"/>
        <v>212_99</v>
      </c>
      <c r="K199" s="43"/>
      <c r="L199" s="43"/>
    </row>
    <row r="200" spans="1:13" x14ac:dyDescent="0.4">
      <c r="A200" s="37" t="s">
        <v>703</v>
      </c>
      <c r="B200" s="38" t="s">
        <v>132</v>
      </c>
      <c r="C200" s="42">
        <v>5</v>
      </c>
      <c r="D200" s="40" t="s">
        <v>267</v>
      </c>
      <c r="E200" s="40"/>
      <c r="F200" s="40"/>
      <c r="G200" s="40" t="s">
        <v>1584</v>
      </c>
      <c r="H200" s="115">
        <v>99</v>
      </c>
      <c r="I200" s="40">
        <v>99</v>
      </c>
      <c r="J200" s="40" t="str">
        <f t="shared" si="6"/>
        <v>213_99</v>
      </c>
      <c r="K200" s="40"/>
      <c r="L200" s="40"/>
    </row>
    <row r="201" spans="1:13" x14ac:dyDescent="0.4">
      <c r="A201" s="37" t="s">
        <v>704</v>
      </c>
      <c r="B201" s="38" t="s">
        <v>132</v>
      </c>
      <c r="C201" s="42">
        <v>5</v>
      </c>
      <c r="D201" s="43" t="s">
        <v>268</v>
      </c>
      <c r="E201" s="43"/>
      <c r="F201" s="43"/>
      <c r="G201" s="43" t="s">
        <v>1585</v>
      </c>
      <c r="H201" s="117">
        <v>99</v>
      </c>
      <c r="I201" s="43">
        <v>99</v>
      </c>
      <c r="J201" s="43" t="str">
        <f t="shared" si="6"/>
        <v>214_99</v>
      </c>
      <c r="K201" s="43"/>
      <c r="L201" s="43"/>
    </row>
    <row r="202" spans="1:13" x14ac:dyDescent="0.4">
      <c r="A202" s="37" t="s">
        <v>705</v>
      </c>
      <c r="B202" s="38" t="s">
        <v>132</v>
      </c>
      <c r="C202" s="42">
        <v>5</v>
      </c>
      <c r="D202" s="40" t="s">
        <v>269</v>
      </c>
      <c r="E202" s="40"/>
      <c r="F202" s="40"/>
      <c r="G202" s="40" t="s">
        <v>1586</v>
      </c>
      <c r="H202" s="115">
        <v>99</v>
      </c>
      <c r="I202" s="40">
        <v>99</v>
      </c>
      <c r="J202" s="40" t="str">
        <f t="shared" si="6"/>
        <v>215_99</v>
      </c>
      <c r="K202" s="40"/>
      <c r="L202" s="40"/>
    </row>
    <row r="203" spans="1:13" x14ac:dyDescent="0.4">
      <c r="A203" s="37" t="s">
        <v>706</v>
      </c>
      <c r="B203" s="38" t="s">
        <v>132</v>
      </c>
      <c r="C203" s="42">
        <v>5</v>
      </c>
      <c r="D203" s="43" t="s">
        <v>270</v>
      </c>
      <c r="E203" s="43"/>
      <c r="F203" s="43"/>
      <c r="G203" s="43" t="s">
        <v>1587</v>
      </c>
      <c r="H203" s="117">
        <v>99</v>
      </c>
      <c r="I203" s="43">
        <v>99</v>
      </c>
      <c r="J203" s="43" t="str">
        <f t="shared" si="6"/>
        <v>216_99</v>
      </c>
      <c r="K203" s="43"/>
      <c r="L203" s="43"/>
    </row>
    <row r="204" spans="1:13" x14ac:dyDescent="0.4">
      <c r="A204" s="37" t="s">
        <v>707</v>
      </c>
      <c r="B204" s="38" t="s">
        <v>132</v>
      </c>
      <c r="C204" s="42">
        <v>5</v>
      </c>
      <c r="D204" s="38" t="s">
        <v>86</v>
      </c>
      <c r="E204" s="38"/>
      <c r="F204" s="38"/>
      <c r="G204" s="38" t="s">
        <v>1588</v>
      </c>
      <c r="H204" s="116" t="s">
        <v>1577</v>
      </c>
      <c r="I204" s="38" t="s">
        <v>54</v>
      </c>
      <c r="J204" s="38" t="str">
        <f t="shared" si="6"/>
        <v>217_入力しない（規定値を用いる）</v>
      </c>
      <c r="K204" s="38"/>
      <c r="L204" s="38"/>
    </row>
    <row r="205" spans="1:13" x14ac:dyDescent="0.4">
      <c r="A205" s="37" t="s">
        <v>707</v>
      </c>
      <c r="B205" s="38" t="s">
        <v>132</v>
      </c>
      <c r="C205" s="42">
        <v>5</v>
      </c>
      <c r="D205" s="40"/>
      <c r="E205" s="40"/>
      <c r="F205" s="40"/>
      <c r="G205" s="40" t="s">
        <v>1588</v>
      </c>
      <c r="H205" s="115" t="s">
        <v>1589</v>
      </c>
      <c r="I205" s="40" t="s">
        <v>55</v>
      </c>
      <c r="J205" s="40" t="str">
        <f t="shared" si="6"/>
        <v>217_入力する</v>
      </c>
      <c r="K205" s="40"/>
      <c r="L205" s="40"/>
    </row>
    <row r="206" spans="1:13" x14ac:dyDescent="0.4">
      <c r="A206" s="44" t="s">
        <v>708</v>
      </c>
      <c r="B206" s="40" t="s">
        <v>132</v>
      </c>
      <c r="C206" s="45">
        <v>5</v>
      </c>
      <c r="D206" s="40" t="s">
        <v>232</v>
      </c>
      <c r="E206" s="40"/>
      <c r="F206" s="40"/>
      <c r="G206" s="40" t="s">
        <v>1590</v>
      </c>
      <c r="H206" s="115">
        <v>99</v>
      </c>
      <c r="I206" s="40">
        <v>99</v>
      </c>
      <c r="J206" s="40" t="str">
        <f t="shared" si="6"/>
        <v>219_99</v>
      </c>
      <c r="K206" s="40"/>
      <c r="L206" s="40"/>
    </row>
    <row r="207" spans="1:13" x14ac:dyDescent="0.4">
      <c r="A207" s="37" t="s">
        <v>723</v>
      </c>
      <c r="B207" s="46" t="s">
        <v>133</v>
      </c>
      <c r="C207" s="47">
        <v>1</v>
      </c>
      <c r="D207" s="48" t="s">
        <v>285</v>
      </c>
      <c r="E207" s="48"/>
      <c r="F207" s="48"/>
      <c r="G207" s="48"/>
      <c r="H207" s="119"/>
      <c r="I207" s="48" t="s">
        <v>286</v>
      </c>
      <c r="J207" s="48" t="str">
        <f t="shared" si="6"/>
        <v>220_居室のみを冷房する</v>
      </c>
      <c r="K207" s="48"/>
      <c r="L207" s="48"/>
      <c r="M207" s="36" t="str">
        <f>"冷房_"&amp;D207</f>
        <v>冷房_冷房方式</v>
      </c>
    </row>
    <row r="208" spans="1:13" x14ac:dyDescent="0.4">
      <c r="A208" s="37" t="s">
        <v>723</v>
      </c>
      <c r="B208" s="48" t="s">
        <v>133</v>
      </c>
      <c r="C208" s="49">
        <v>1</v>
      </c>
      <c r="D208" s="48"/>
      <c r="E208" s="48"/>
      <c r="F208" s="48"/>
      <c r="G208" s="48"/>
      <c r="H208" s="119"/>
      <c r="I208" s="48" t="s">
        <v>287</v>
      </c>
      <c r="J208" s="48" t="str">
        <f t="shared" si="6"/>
        <v>220_住戸全体を冷房する</v>
      </c>
      <c r="K208" s="48"/>
      <c r="L208" s="48"/>
    </row>
    <row r="209" spans="1:13" x14ac:dyDescent="0.4">
      <c r="A209" s="37" t="s">
        <v>723</v>
      </c>
      <c r="B209" s="48" t="s">
        <v>133</v>
      </c>
      <c r="C209" s="51">
        <v>1</v>
      </c>
      <c r="D209" s="50"/>
      <c r="E209" s="50"/>
      <c r="F209" s="50"/>
      <c r="G209" s="50"/>
      <c r="H209" s="120"/>
      <c r="I209" s="50" t="s">
        <v>51</v>
      </c>
      <c r="J209" s="50" t="str">
        <f t="shared" si="6"/>
        <v>220_設置しない</v>
      </c>
      <c r="K209" s="50"/>
      <c r="L209" s="50"/>
    </row>
    <row r="210" spans="1:13" x14ac:dyDescent="0.4">
      <c r="A210" s="37" t="s">
        <v>724</v>
      </c>
      <c r="B210" s="48" t="s">
        <v>133</v>
      </c>
      <c r="C210" s="49">
        <v>2</v>
      </c>
      <c r="D210" s="48" t="s">
        <v>291</v>
      </c>
      <c r="E210" s="48"/>
      <c r="F210" s="48"/>
      <c r="G210" s="48"/>
      <c r="H210" s="119"/>
      <c r="I210" s="48" t="s">
        <v>52</v>
      </c>
      <c r="J210" s="48" t="str">
        <f t="shared" si="6"/>
        <v>223_ルームエアコンディショナー</v>
      </c>
      <c r="K210" s="48"/>
      <c r="L210" s="48"/>
      <c r="M210" s="36" t="str">
        <f>"冷房_"&amp;D210</f>
        <v>冷房_冷房設備機器の種類_主たる居室</v>
      </c>
    </row>
    <row r="211" spans="1:13" x14ac:dyDescent="0.4">
      <c r="A211" s="37" t="s">
        <v>724</v>
      </c>
      <c r="B211" s="48" t="s">
        <v>133</v>
      </c>
      <c r="C211" s="49">
        <v>2</v>
      </c>
      <c r="D211" s="48"/>
      <c r="E211" s="48"/>
      <c r="F211" s="48"/>
      <c r="G211" s="48"/>
      <c r="H211" s="119"/>
      <c r="I211" s="48" t="s">
        <v>289</v>
      </c>
      <c r="J211" s="48" t="str">
        <f t="shared" si="6"/>
        <v>223_その他の冷房設備機器</v>
      </c>
      <c r="K211" s="48"/>
      <c r="L211" s="48"/>
    </row>
    <row r="212" spans="1:13" x14ac:dyDescent="0.4">
      <c r="A212" s="37" t="s">
        <v>724</v>
      </c>
      <c r="B212" s="48" t="s">
        <v>133</v>
      </c>
      <c r="C212" s="49">
        <v>2</v>
      </c>
      <c r="D212" s="48"/>
      <c r="E212" s="48"/>
      <c r="F212" s="48"/>
      <c r="G212" s="48"/>
      <c r="H212" s="119"/>
      <c r="I212" s="48" t="s">
        <v>973</v>
      </c>
      <c r="J212" s="48" t="str">
        <f t="shared" si="6"/>
        <v>223_基準値の算定において想定される機器（増改築部分を対象に評価する場合の基準設定仕様</v>
      </c>
      <c r="K212" s="48"/>
      <c r="L212" s="48"/>
    </row>
    <row r="213" spans="1:13" x14ac:dyDescent="0.4">
      <c r="A213" s="37" t="s">
        <v>724</v>
      </c>
      <c r="B213" s="48" t="s">
        <v>133</v>
      </c>
      <c r="C213" s="49">
        <v>2</v>
      </c>
      <c r="D213" s="50"/>
      <c r="E213" s="50"/>
      <c r="F213" s="50"/>
      <c r="G213" s="50"/>
      <c r="H213" s="120"/>
      <c r="I213" s="50" t="s">
        <v>290</v>
      </c>
      <c r="J213" s="48" t="str">
        <f t="shared" si="6"/>
        <v>223_冷房設備機器を設置しない</v>
      </c>
      <c r="K213" s="48"/>
      <c r="L213" s="48"/>
    </row>
    <row r="214" spans="1:13" x14ac:dyDescent="0.4">
      <c r="A214" s="37" t="s">
        <v>725</v>
      </c>
      <c r="B214" s="48" t="s">
        <v>133</v>
      </c>
      <c r="C214" s="49">
        <v>2</v>
      </c>
      <c r="D214" s="48" t="s">
        <v>234</v>
      </c>
      <c r="E214" s="48"/>
      <c r="F214" s="48"/>
      <c r="G214" s="48"/>
      <c r="H214" s="119"/>
      <c r="I214" s="48" t="s">
        <v>1565</v>
      </c>
      <c r="J214" s="48" t="str">
        <f t="shared" si="6"/>
        <v>227_入力しない（規定値を用いる）</v>
      </c>
      <c r="K214" s="48"/>
      <c r="L214" s="48"/>
      <c r="M214" s="36" t="str">
        <f>"冷房_"&amp;D214</f>
        <v>冷房_エネルギー消費効率の入力_主たる居室</v>
      </c>
    </row>
    <row r="215" spans="1:13" x14ac:dyDescent="0.4">
      <c r="A215" s="37" t="s">
        <v>725</v>
      </c>
      <c r="B215" s="48" t="s">
        <v>133</v>
      </c>
      <c r="C215" s="49">
        <v>2</v>
      </c>
      <c r="D215" s="50"/>
      <c r="E215" s="50"/>
      <c r="F215" s="50"/>
      <c r="G215" s="50"/>
      <c r="H215" s="120"/>
      <c r="I215" s="50" t="s">
        <v>55</v>
      </c>
      <c r="J215" s="48" t="str">
        <f t="shared" si="6"/>
        <v>227_入力する</v>
      </c>
      <c r="K215" s="48"/>
      <c r="L215" s="48"/>
    </row>
    <row r="216" spans="1:13" x14ac:dyDescent="0.4">
      <c r="A216" s="37" t="s">
        <v>726</v>
      </c>
      <c r="B216" s="48" t="s">
        <v>133</v>
      </c>
      <c r="C216" s="51">
        <v>2</v>
      </c>
      <c r="D216" s="50" t="s">
        <v>295</v>
      </c>
      <c r="E216" s="50"/>
      <c r="F216" s="50"/>
      <c r="G216" s="50"/>
      <c r="H216" s="120"/>
      <c r="I216" s="50" t="s">
        <v>1592</v>
      </c>
      <c r="J216" s="50" t="str">
        <f t="shared" si="6"/>
        <v>229_（その他の冷房設備機器の名称）</v>
      </c>
      <c r="K216" s="50"/>
      <c r="L216" s="50"/>
      <c r="M216" s="36" t="str">
        <f>"冷房_"&amp;D216</f>
        <v>冷房_その他の冷房設備機器の名称_主たる居室</v>
      </c>
    </row>
    <row r="217" spans="1:13" x14ac:dyDescent="0.4">
      <c r="A217" s="37" t="s">
        <v>727</v>
      </c>
      <c r="B217" s="48" t="s">
        <v>133</v>
      </c>
      <c r="C217" s="49">
        <v>3</v>
      </c>
      <c r="D217" s="48" t="s">
        <v>293</v>
      </c>
      <c r="E217" s="48"/>
      <c r="F217" s="48"/>
      <c r="G217" s="48"/>
      <c r="H217" s="119"/>
      <c r="I217" s="48" t="s">
        <v>52</v>
      </c>
      <c r="J217" s="48" t="str">
        <f t="shared" si="6"/>
        <v>230_ルームエアコンディショナー</v>
      </c>
      <c r="K217" s="48"/>
      <c r="L217" s="48"/>
      <c r="M217" s="36" t="str">
        <f>"冷房_"&amp;D217</f>
        <v>冷房_冷房設備機器の種類_その他の居室</v>
      </c>
    </row>
    <row r="218" spans="1:13" x14ac:dyDescent="0.4">
      <c r="A218" s="37" t="s">
        <v>727</v>
      </c>
      <c r="B218" s="48" t="s">
        <v>133</v>
      </c>
      <c r="C218" s="49">
        <v>3</v>
      </c>
      <c r="D218" s="48"/>
      <c r="E218" s="48"/>
      <c r="F218" s="48"/>
      <c r="G218" s="48"/>
      <c r="H218" s="119"/>
      <c r="I218" s="48" t="s">
        <v>289</v>
      </c>
      <c r="J218" s="48" t="str">
        <f t="shared" si="6"/>
        <v>230_その他の冷房設備機器</v>
      </c>
      <c r="K218" s="48"/>
      <c r="L218" s="48"/>
    </row>
    <row r="219" spans="1:13" x14ac:dyDescent="0.4">
      <c r="A219" s="37" t="s">
        <v>727</v>
      </c>
      <c r="B219" s="48" t="s">
        <v>133</v>
      </c>
      <c r="C219" s="49">
        <v>3</v>
      </c>
      <c r="D219" s="48"/>
      <c r="E219" s="48"/>
      <c r="F219" s="48"/>
      <c r="G219" s="48"/>
      <c r="H219" s="119"/>
      <c r="I219" s="48" t="s">
        <v>973</v>
      </c>
      <c r="J219" s="48" t="str">
        <f t="shared" si="6"/>
        <v>230_基準値の算定において想定される機器（増改築部分を対象に評価する場合の基準設定仕様</v>
      </c>
      <c r="K219" s="48"/>
      <c r="L219" s="48"/>
    </row>
    <row r="220" spans="1:13" x14ac:dyDescent="0.4">
      <c r="A220" s="37" t="s">
        <v>727</v>
      </c>
      <c r="B220" s="48" t="s">
        <v>133</v>
      </c>
      <c r="C220" s="49">
        <v>3</v>
      </c>
      <c r="D220" s="50"/>
      <c r="E220" s="50"/>
      <c r="F220" s="50"/>
      <c r="G220" s="50"/>
      <c r="H220" s="120"/>
      <c r="I220" s="50" t="s">
        <v>290</v>
      </c>
      <c r="J220" s="48" t="str">
        <f t="shared" si="6"/>
        <v>230_冷房設備機器を設置しない</v>
      </c>
      <c r="K220" s="48"/>
      <c r="L220" s="48"/>
    </row>
    <row r="221" spans="1:13" x14ac:dyDescent="0.4">
      <c r="A221" s="37" t="s">
        <v>728</v>
      </c>
      <c r="B221" s="48" t="s">
        <v>133</v>
      </c>
      <c r="C221" s="49">
        <v>3</v>
      </c>
      <c r="D221" s="48" t="s">
        <v>250</v>
      </c>
      <c r="E221" s="48"/>
      <c r="F221" s="48"/>
      <c r="G221" s="48"/>
      <c r="H221" s="119"/>
      <c r="I221" s="48" t="s">
        <v>1565</v>
      </c>
      <c r="J221" s="48" t="str">
        <f t="shared" si="6"/>
        <v>234_入力しない（規定値を用いる）</v>
      </c>
      <c r="K221" s="48"/>
      <c r="L221" s="48"/>
      <c r="M221" s="36" t="str">
        <f>"冷房_"&amp;D221</f>
        <v>冷房_エネルギー消費効率の入力_その他の居室</v>
      </c>
    </row>
    <row r="222" spans="1:13" x14ac:dyDescent="0.4">
      <c r="A222" s="37" t="s">
        <v>728</v>
      </c>
      <c r="B222" s="48" t="s">
        <v>133</v>
      </c>
      <c r="C222" s="49">
        <v>3</v>
      </c>
      <c r="D222" s="50"/>
      <c r="E222" s="50"/>
      <c r="F222" s="50"/>
      <c r="G222" s="50"/>
      <c r="H222" s="120"/>
      <c r="I222" s="50" t="s">
        <v>55</v>
      </c>
      <c r="J222" s="48" t="str">
        <f t="shared" si="6"/>
        <v>234_入力する</v>
      </c>
      <c r="K222" s="48"/>
      <c r="L222" s="48"/>
    </row>
    <row r="223" spans="1:13" x14ac:dyDescent="0.4">
      <c r="A223" s="37" t="s">
        <v>729</v>
      </c>
      <c r="B223" s="48" t="s">
        <v>133</v>
      </c>
      <c r="C223" s="51">
        <v>3</v>
      </c>
      <c r="D223" s="50" t="s">
        <v>294</v>
      </c>
      <c r="E223" s="50"/>
      <c r="F223" s="50"/>
      <c r="G223" s="50"/>
      <c r="H223" s="120"/>
      <c r="I223" s="50" t="s">
        <v>1592</v>
      </c>
      <c r="J223" s="50" t="str">
        <f t="shared" si="6"/>
        <v>236_（その他の冷房設備機器の名称）</v>
      </c>
      <c r="K223" s="50"/>
      <c r="L223" s="50"/>
      <c r="M223" s="36" t="str">
        <f>"冷房_"&amp;D223</f>
        <v>冷房_その他の冷房設備機器の名称_その他の居室</v>
      </c>
    </row>
    <row r="224" spans="1:13" x14ac:dyDescent="0.4">
      <c r="A224" s="37" t="s">
        <v>730</v>
      </c>
      <c r="B224" s="48" t="s">
        <v>133</v>
      </c>
      <c r="C224" s="49">
        <v>4</v>
      </c>
      <c r="D224" s="50" t="s">
        <v>288</v>
      </c>
      <c r="E224" s="50"/>
      <c r="F224" s="50"/>
      <c r="G224" s="50"/>
      <c r="H224" s="120"/>
      <c r="I224" s="50" t="s">
        <v>1591</v>
      </c>
      <c r="J224" s="48" t="str">
        <f t="shared" si="6"/>
        <v>237_ダクト式セントラル空調機（ヒートポンプ式熱源）</v>
      </c>
      <c r="K224" s="48"/>
      <c r="L224" s="48"/>
      <c r="M224" s="36" t="str">
        <f>"冷房_"&amp;D224</f>
        <v>冷房_冷房設備機器の種類</v>
      </c>
    </row>
    <row r="225" spans="1:13" x14ac:dyDescent="0.4">
      <c r="A225" s="37" t="s">
        <v>731</v>
      </c>
      <c r="B225" s="48" t="s">
        <v>133</v>
      </c>
      <c r="C225" s="49">
        <v>4</v>
      </c>
      <c r="D225" s="48" t="s">
        <v>77</v>
      </c>
      <c r="E225" s="48"/>
      <c r="F225" s="48"/>
      <c r="G225" s="48"/>
      <c r="H225" s="119"/>
      <c r="I225" s="48" t="s">
        <v>73</v>
      </c>
      <c r="J225" s="48" t="str">
        <f t="shared" si="6"/>
        <v>238_評価しない、または全てもしくは一部が断熱区画外である</v>
      </c>
      <c r="K225" s="48"/>
      <c r="L225" s="48"/>
      <c r="M225" s="36" t="str">
        <f>"冷房_"&amp;D225</f>
        <v>冷房_ダクトが通過する空間</v>
      </c>
    </row>
    <row r="226" spans="1:13" x14ac:dyDescent="0.4">
      <c r="A226" s="37" t="s">
        <v>731</v>
      </c>
      <c r="B226" s="48" t="s">
        <v>133</v>
      </c>
      <c r="C226" s="49">
        <v>4</v>
      </c>
      <c r="D226" s="50"/>
      <c r="E226" s="50"/>
      <c r="F226" s="50"/>
      <c r="G226" s="50"/>
      <c r="H226" s="120"/>
      <c r="I226" s="50" t="s">
        <v>74</v>
      </c>
      <c r="J226" s="48" t="str">
        <f t="shared" si="6"/>
        <v>238_全て断熱区画内である</v>
      </c>
      <c r="K226" s="48"/>
      <c r="L226" s="48"/>
    </row>
    <row r="227" spans="1:13" x14ac:dyDescent="0.4">
      <c r="A227" s="37" t="s">
        <v>732</v>
      </c>
      <c r="B227" s="48" t="s">
        <v>133</v>
      </c>
      <c r="C227" s="49">
        <v>4</v>
      </c>
      <c r="D227" s="48" t="s">
        <v>78</v>
      </c>
      <c r="E227" s="48"/>
      <c r="F227" s="48"/>
      <c r="G227" s="48"/>
      <c r="H227" s="119"/>
      <c r="I227" s="48" t="s">
        <v>79</v>
      </c>
      <c r="J227" s="48" t="str">
        <f t="shared" si="6"/>
        <v>240_採用しない</v>
      </c>
      <c r="K227" s="48"/>
      <c r="L227" s="48"/>
      <c r="M227" s="36" t="str">
        <f>"冷房_"&amp;D227</f>
        <v>冷房_VAV方式</v>
      </c>
    </row>
    <row r="228" spans="1:13" x14ac:dyDescent="0.4">
      <c r="A228" s="37" t="s">
        <v>732</v>
      </c>
      <c r="B228" s="48" t="s">
        <v>133</v>
      </c>
      <c r="C228" s="49">
        <v>4</v>
      </c>
      <c r="D228" s="50"/>
      <c r="E228" s="50"/>
      <c r="F228" s="50"/>
      <c r="G228" s="50"/>
      <c r="H228" s="120"/>
      <c r="I228" s="50" t="s">
        <v>71</v>
      </c>
      <c r="J228" s="48" t="str">
        <f t="shared" si="6"/>
        <v>240_採用する</v>
      </c>
      <c r="K228" s="48"/>
      <c r="L228" s="48"/>
    </row>
    <row r="229" spans="1:13" x14ac:dyDescent="0.4">
      <c r="A229" s="37" t="s">
        <v>733</v>
      </c>
      <c r="B229" s="48" t="s">
        <v>133</v>
      </c>
      <c r="C229" s="49">
        <v>4</v>
      </c>
      <c r="D229" s="48" t="s">
        <v>80</v>
      </c>
      <c r="E229" s="48"/>
      <c r="F229" s="48"/>
      <c r="G229" s="48"/>
      <c r="H229" s="119"/>
      <c r="I229" s="48" t="s">
        <v>81</v>
      </c>
      <c r="J229" s="48" t="str">
        <f t="shared" si="6"/>
        <v>242_全般換気機能あり</v>
      </c>
      <c r="K229" s="48"/>
      <c r="L229" s="48"/>
      <c r="M229" s="36" t="str">
        <f>"冷房_"&amp;D229</f>
        <v>冷房_全般換気機能</v>
      </c>
    </row>
    <row r="230" spans="1:13" x14ac:dyDescent="0.4">
      <c r="A230" s="37" t="s">
        <v>733</v>
      </c>
      <c r="B230" s="48" t="s">
        <v>133</v>
      </c>
      <c r="C230" s="49">
        <v>4</v>
      </c>
      <c r="D230" s="50"/>
      <c r="E230" s="50"/>
      <c r="F230" s="50"/>
      <c r="G230" s="50"/>
      <c r="H230" s="120"/>
      <c r="I230" s="50" t="s">
        <v>82</v>
      </c>
      <c r="J230" s="48" t="str">
        <f t="shared" si="6"/>
        <v>242_全般換気機能なし</v>
      </c>
      <c r="K230" s="48"/>
      <c r="L230" s="48"/>
    </row>
    <row r="231" spans="1:13" x14ac:dyDescent="0.4">
      <c r="A231" s="37" t="s">
        <v>734</v>
      </c>
      <c r="B231" s="48" t="s">
        <v>133</v>
      </c>
      <c r="C231" s="49">
        <v>4</v>
      </c>
      <c r="D231" s="48" t="s">
        <v>83</v>
      </c>
      <c r="E231" s="48"/>
      <c r="F231" s="48"/>
      <c r="G231" s="48"/>
      <c r="H231" s="119"/>
      <c r="I231" s="48" t="s">
        <v>1565</v>
      </c>
      <c r="J231" s="48" t="str">
        <f t="shared" si="6"/>
        <v>244_入力しない（規定値を用いる）</v>
      </c>
      <c r="K231" s="48"/>
      <c r="L231" s="48"/>
      <c r="M231" s="36" t="str">
        <f>"冷房_"&amp;D231</f>
        <v>冷房_機器の仕様の入力</v>
      </c>
    </row>
    <row r="232" spans="1:13" x14ac:dyDescent="0.4">
      <c r="A232" s="37" t="s">
        <v>734</v>
      </c>
      <c r="B232" s="48" t="s">
        <v>133</v>
      </c>
      <c r="C232" s="49">
        <v>4</v>
      </c>
      <c r="D232" s="48"/>
      <c r="E232" s="48"/>
      <c r="F232" s="48"/>
      <c r="G232" s="48"/>
      <c r="H232" s="119"/>
      <c r="I232" s="48" t="s">
        <v>84</v>
      </c>
      <c r="J232" s="48" t="str">
        <f t="shared" si="6"/>
        <v>244_定格能力試験の値を入力する</v>
      </c>
      <c r="K232" s="48"/>
      <c r="L232" s="48"/>
    </row>
    <row r="233" spans="1:13" x14ac:dyDescent="0.4">
      <c r="A233" s="37" t="s">
        <v>734</v>
      </c>
      <c r="B233" s="48" t="s">
        <v>133</v>
      </c>
      <c r="C233" s="49">
        <v>4</v>
      </c>
      <c r="D233" s="50"/>
      <c r="E233" s="50"/>
      <c r="F233" s="50"/>
      <c r="G233" s="50"/>
      <c r="H233" s="120"/>
      <c r="I233" s="50" t="s">
        <v>85</v>
      </c>
      <c r="J233" s="48" t="str">
        <f t="shared" si="6"/>
        <v>244_定格能力試験と中間能力試験の値を入力する</v>
      </c>
      <c r="K233" s="48"/>
      <c r="L233" s="48"/>
    </row>
    <row r="234" spans="1:13" x14ac:dyDescent="0.4">
      <c r="A234" s="37" t="s">
        <v>735</v>
      </c>
      <c r="B234" s="48" t="s">
        <v>133</v>
      </c>
      <c r="C234" s="49">
        <v>4</v>
      </c>
      <c r="D234" s="48" t="s">
        <v>86</v>
      </c>
      <c r="E234" s="48"/>
      <c r="F234" s="48"/>
      <c r="G234" s="48"/>
      <c r="H234" s="119"/>
      <c r="I234" s="48" t="s">
        <v>1565</v>
      </c>
      <c r="J234" s="48" t="str">
        <f t="shared" si="6"/>
        <v>247_入力しない（規定値を用いる）</v>
      </c>
      <c r="K234" s="48"/>
      <c r="L234" s="48"/>
      <c r="M234" s="36" t="str">
        <f>"冷房_"&amp;D234</f>
        <v>冷房_設計風量の入力</v>
      </c>
    </row>
    <row r="235" spans="1:13" x14ac:dyDescent="0.4">
      <c r="A235" s="37" t="s">
        <v>735</v>
      </c>
      <c r="B235" s="48" t="s">
        <v>133</v>
      </c>
      <c r="C235" s="49">
        <v>4</v>
      </c>
      <c r="D235" s="50"/>
      <c r="E235" s="50"/>
      <c r="F235" s="50"/>
      <c r="G235" s="50"/>
      <c r="H235" s="120"/>
      <c r="I235" s="50" t="s">
        <v>55</v>
      </c>
      <c r="J235" s="48" t="str">
        <f t="shared" si="6"/>
        <v>247_入力する</v>
      </c>
      <c r="K235" s="48"/>
      <c r="L235" s="48"/>
    </row>
    <row r="236" spans="1:13" x14ac:dyDescent="0.4">
      <c r="A236" s="44" t="s">
        <v>736</v>
      </c>
      <c r="B236" s="50" t="s">
        <v>133</v>
      </c>
      <c r="C236" s="49">
        <v>4</v>
      </c>
      <c r="D236" s="50" t="s">
        <v>232</v>
      </c>
      <c r="E236" s="50"/>
      <c r="F236" s="50"/>
      <c r="G236" s="50"/>
      <c r="H236" s="120"/>
      <c r="I236" s="50">
        <v>99</v>
      </c>
      <c r="J236" s="50" t="str">
        <f t="shared" si="6"/>
        <v>249_99</v>
      </c>
      <c r="K236" s="50"/>
      <c r="L236" s="50"/>
      <c r="M236" s="36" t="str">
        <f>"冷房_"&amp;D236</f>
        <v>冷房_設計風量</v>
      </c>
    </row>
    <row r="237" spans="1:13" x14ac:dyDescent="0.4">
      <c r="A237" s="37" t="s">
        <v>737</v>
      </c>
      <c r="B237" s="58" t="s">
        <v>134</v>
      </c>
      <c r="C237" s="39">
        <v>1</v>
      </c>
      <c r="D237" s="38" t="s">
        <v>824</v>
      </c>
      <c r="E237" s="38"/>
      <c r="F237" s="38"/>
      <c r="G237" s="38"/>
      <c r="H237" s="116"/>
      <c r="I237" s="38" t="s">
        <v>297</v>
      </c>
      <c r="J237" s="38" t="str">
        <f t="shared" si="6"/>
        <v>250_ダクト式第一種換気設備</v>
      </c>
      <c r="K237" s="38"/>
      <c r="L237" s="38"/>
      <c r="M237" s="36" t="str">
        <f>"換気_"&amp;D237</f>
        <v>換気_換気設備の方式</v>
      </c>
    </row>
    <row r="238" spans="1:13" x14ac:dyDescent="0.4">
      <c r="A238" s="37" t="s">
        <v>737</v>
      </c>
      <c r="B238" s="38" t="s">
        <v>134</v>
      </c>
      <c r="C238" s="42">
        <v>1</v>
      </c>
      <c r="D238" s="38"/>
      <c r="E238" s="38"/>
      <c r="F238" s="38"/>
      <c r="G238" s="38"/>
      <c r="H238" s="116"/>
      <c r="I238" s="38" t="s">
        <v>298</v>
      </c>
      <c r="J238" s="38" t="str">
        <f t="shared" si="6"/>
        <v>250_ダクト式第二種換気設備、またはダクト式第三種換気設備</v>
      </c>
      <c r="K238" s="38"/>
      <c r="L238" s="38"/>
    </row>
    <row r="239" spans="1:13" x14ac:dyDescent="0.4">
      <c r="A239" s="37" t="s">
        <v>737</v>
      </c>
      <c r="B239" s="38" t="s">
        <v>134</v>
      </c>
      <c r="C239" s="42">
        <v>1</v>
      </c>
      <c r="D239" s="38"/>
      <c r="E239" s="38"/>
      <c r="F239" s="38"/>
      <c r="G239" s="38"/>
      <c r="H239" s="116"/>
      <c r="I239" s="38" t="s">
        <v>299</v>
      </c>
      <c r="J239" s="38" t="str">
        <f t="shared" si="6"/>
        <v>250_壁付け式第一種換気設備</v>
      </c>
      <c r="K239" s="38"/>
      <c r="L239" s="38"/>
    </row>
    <row r="240" spans="1:13" x14ac:dyDescent="0.4">
      <c r="A240" s="37" t="s">
        <v>737</v>
      </c>
      <c r="B240" s="38" t="s">
        <v>134</v>
      </c>
      <c r="C240" s="42">
        <v>1</v>
      </c>
      <c r="D240" s="38"/>
      <c r="E240" s="38"/>
      <c r="F240" s="38"/>
      <c r="G240" s="38"/>
      <c r="H240" s="116"/>
      <c r="I240" s="38" t="s">
        <v>300</v>
      </c>
      <c r="J240" s="38" t="str">
        <f t="shared" si="6"/>
        <v>250_壁付け式第二種換気設備、または壁付け式第三種換気設備</v>
      </c>
      <c r="K240" s="38"/>
      <c r="L240" s="38"/>
    </row>
    <row r="241" spans="1:13" x14ac:dyDescent="0.4">
      <c r="A241" s="37" t="s">
        <v>737</v>
      </c>
      <c r="B241" s="38" t="s">
        <v>134</v>
      </c>
      <c r="C241" s="45">
        <v>1</v>
      </c>
      <c r="D241" s="40"/>
      <c r="E241" s="40"/>
      <c r="F241" s="40"/>
      <c r="G241" s="40"/>
      <c r="H241" s="115"/>
      <c r="I241" s="40" t="s">
        <v>973</v>
      </c>
      <c r="J241" s="40" t="str">
        <f t="shared" si="6"/>
        <v>250_基準値の算定において想定される機器（増改築部分を対象に評価する場合の基準設定仕様</v>
      </c>
      <c r="K241" s="40"/>
      <c r="L241" s="40"/>
    </row>
    <row r="242" spans="1:13" x14ac:dyDescent="0.4">
      <c r="A242" s="37" t="s">
        <v>738</v>
      </c>
      <c r="B242" s="38" t="s">
        <v>134</v>
      </c>
      <c r="C242" s="42">
        <v>2</v>
      </c>
      <c r="D242" s="38" t="s">
        <v>301</v>
      </c>
      <c r="E242" s="38"/>
      <c r="F242" s="38"/>
      <c r="G242" s="38"/>
      <c r="H242" s="116"/>
      <c r="I242" s="38" t="s">
        <v>975</v>
      </c>
      <c r="J242" s="38" t="str">
        <f t="shared" si="6"/>
        <v>255_入力しない（省エネルギー手法を評価しない、または採用しない</v>
      </c>
      <c r="K242" s="38"/>
      <c r="L242" s="38"/>
      <c r="M242" s="36" t="str">
        <f>"換気_"&amp;D242</f>
        <v>換気_比消費電力の入力</v>
      </c>
    </row>
    <row r="243" spans="1:13" x14ac:dyDescent="0.4">
      <c r="A243" s="37" t="s">
        <v>738</v>
      </c>
      <c r="B243" s="38" t="s">
        <v>134</v>
      </c>
      <c r="C243" s="42">
        <v>2</v>
      </c>
      <c r="D243" s="38"/>
      <c r="E243" s="38"/>
      <c r="F243" s="38"/>
      <c r="G243" s="38"/>
      <c r="H243" s="116"/>
      <c r="I243" s="38" t="s">
        <v>976</v>
      </c>
      <c r="J243" s="38" t="str">
        <f t="shared" si="6"/>
        <v>255_入力しない（省エネルギー手法を採用する</v>
      </c>
      <c r="K243" s="38"/>
      <c r="L243" s="38"/>
    </row>
    <row r="244" spans="1:13" x14ac:dyDescent="0.4">
      <c r="A244" s="37" t="s">
        <v>738</v>
      </c>
      <c r="B244" s="38" t="s">
        <v>134</v>
      </c>
      <c r="C244" s="42">
        <v>2</v>
      </c>
      <c r="D244" s="40"/>
      <c r="E244" s="40"/>
      <c r="F244" s="40"/>
      <c r="G244" s="40"/>
      <c r="H244" s="115"/>
      <c r="I244" s="40" t="s">
        <v>55</v>
      </c>
      <c r="J244" s="40" t="str">
        <f t="shared" ref="J244:J307" si="7">A244&amp;"_"&amp;I244</f>
        <v>255_入力する</v>
      </c>
      <c r="K244" s="40"/>
      <c r="L244" s="40"/>
    </row>
    <row r="245" spans="1:13" x14ac:dyDescent="0.4">
      <c r="A245" s="37" t="s">
        <v>739</v>
      </c>
      <c r="B245" s="38" t="s">
        <v>134</v>
      </c>
      <c r="C245" s="42">
        <v>2</v>
      </c>
      <c r="D245" s="38" t="s">
        <v>308</v>
      </c>
      <c r="E245" s="38"/>
      <c r="F245" s="38"/>
      <c r="G245" s="38"/>
      <c r="H245" s="116"/>
      <c r="I245" s="38" t="s">
        <v>309</v>
      </c>
      <c r="J245" s="38" t="str">
        <f t="shared" si="7"/>
        <v>258_径の太いダクトを使用する</v>
      </c>
      <c r="K245" s="38"/>
      <c r="L245" s="38"/>
      <c r="M245" s="36" t="str">
        <f>"換気_"&amp;D245</f>
        <v>換気_省エネルギー手法</v>
      </c>
    </row>
    <row r="246" spans="1:13" x14ac:dyDescent="0.4">
      <c r="A246" s="37" t="s">
        <v>739</v>
      </c>
      <c r="B246" s="38" t="s">
        <v>134</v>
      </c>
      <c r="C246" s="42">
        <v>2</v>
      </c>
      <c r="D246" s="40"/>
      <c r="E246" s="40"/>
      <c r="F246" s="40"/>
      <c r="G246" s="40"/>
      <c r="H246" s="115"/>
      <c r="I246" s="40" t="s">
        <v>310</v>
      </c>
      <c r="J246" s="40" t="str">
        <f t="shared" si="7"/>
        <v>258_径の太いダクトを使用し、かつDCモーターを採用する</v>
      </c>
      <c r="K246" s="40"/>
      <c r="L246" s="40"/>
    </row>
    <row r="247" spans="1:13" x14ac:dyDescent="0.4">
      <c r="A247" s="37" t="s">
        <v>740</v>
      </c>
      <c r="B247" s="38" t="s">
        <v>134</v>
      </c>
      <c r="C247" s="45">
        <v>2</v>
      </c>
      <c r="D247" s="43" t="s">
        <v>311</v>
      </c>
      <c r="E247" s="43"/>
      <c r="F247" s="43"/>
      <c r="G247" s="43"/>
      <c r="H247" s="117"/>
      <c r="I247" s="43">
        <v>99</v>
      </c>
      <c r="J247" s="43" t="str">
        <f t="shared" si="7"/>
        <v>260_99</v>
      </c>
      <c r="K247" s="43"/>
      <c r="L247" s="43"/>
      <c r="M247" s="36" t="str">
        <f>"換気_"&amp;D247</f>
        <v>換気_比消費電力</v>
      </c>
    </row>
    <row r="248" spans="1:13" x14ac:dyDescent="0.4">
      <c r="A248" s="37" t="s">
        <v>741</v>
      </c>
      <c r="B248" s="38" t="s">
        <v>134</v>
      </c>
      <c r="C248" s="42">
        <v>3</v>
      </c>
      <c r="D248" s="38" t="s">
        <v>302</v>
      </c>
      <c r="E248" s="38"/>
      <c r="F248" s="38"/>
      <c r="G248" s="38"/>
      <c r="H248" s="116"/>
      <c r="I248" s="38" t="s">
        <v>303</v>
      </c>
      <c r="J248" s="38" t="str">
        <f t="shared" si="7"/>
        <v>261_0.5回/h</v>
      </c>
      <c r="K248" s="38"/>
      <c r="L248" s="38"/>
      <c r="M248" s="36" t="str">
        <f>"換気_"&amp;D248</f>
        <v>換気_換気回数</v>
      </c>
    </row>
    <row r="249" spans="1:13" x14ac:dyDescent="0.4">
      <c r="A249" s="37" t="s">
        <v>741</v>
      </c>
      <c r="B249" s="38" t="s">
        <v>134</v>
      </c>
      <c r="C249" s="42">
        <v>3</v>
      </c>
      <c r="D249" s="38"/>
      <c r="E249" s="38"/>
      <c r="F249" s="38"/>
      <c r="G249" s="38"/>
      <c r="H249" s="116"/>
      <c r="I249" s="38" t="s">
        <v>304</v>
      </c>
      <c r="J249" s="38" t="str">
        <f t="shared" si="7"/>
        <v>261_0.7回/h</v>
      </c>
      <c r="K249" s="38"/>
      <c r="L249" s="38"/>
    </row>
    <row r="250" spans="1:13" x14ac:dyDescent="0.4">
      <c r="A250" s="37" t="s">
        <v>741</v>
      </c>
      <c r="B250" s="38" t="s">
        <v>134</v>
      </c>
      <c r="C250" s="45">
        <v>3</v>
      </c>
      <c r="D250" s="40"/>
      <c r="E250" s="40"/>
      <c r="F250" s="40"/>
      <c r="G250" s="40"/>
      <c r="H250" s="115"/>
      <c r="I250" s="40" t="s">
        <v>305</v>
      </c>
      <c r="J250" s="40" t="str">
        <f t="shared" si="7"/>
        <v>261_0.0回/h</v>
      </c>
      <c r="K250" s="40"/>
      <c r="L250" s="40"/>
    </row>
    <row r="251" spans="1:13" x14ac:dyDescent="0.4">
      <c r="A251" s="37" t="s">
        <v>742</v>
      </c>
      <c r="B251" s="38" t="s">
        <v>134</v>
      </c>
      <c r="C251" s="42">
        <v>4</v>
      </c>
      <c r="D251" s="38" t="s">
        <v>306</v>
      </c>
      <c r="E251" s="38"/>
      <c r="F251" s="38"/>
      <c r="G251" s="38"/>
      <c r="H251" s="116"/>
      <c r="I251" s="38" t="s">
        <v>977</v>
      </c>
      <c r="J251" s="38" t="str">
        <f t="shared" si="7"/>
        <v>264_還気が給気に混入することのない場合、 もしくは熱交換型換気設備を評価しない、または設置しない場合（規定値を用いる</v>
      </c>
      <c r="K251" s="38"/>
      <c r="L251" s="38"/>
      <c r="M251" s="36" t="str">
        <f>"換気_"&amp;D251</f>
        <v>換気_第一種換気設備の有効換気量率の入力</v>
      </c>
    </row>
    <row r="252" spans="1:13" x14ac:dyDescent="0.4">
      <c r="A252" s="37" t="s">
        <v>742</v>
      </c>
      <c r="B252" s="38" t="s">
        <v>134</v>
      </c>
      <c r="C252" s="42">
        <v>4</v>
      </c>
      <c r="D252" s="40"/>
      <c r="E252" s="40"/>
      <c r="F252" s="40"/>
      <c r="G252" s="40"/>
      <c r="H252" s="115"/>
      <c r="I252" s="40" t="s">
        <v>307</v>
      </c>
      <c r="J252" s="40" t="str">
        <f t="shared" si="7"/>
        <v>264_上記以外の場合</v>
      </c>
      <c r="K252" s="40"/>
      <c r="L252" s="40"/>
    </row>
    <row r="253" spans="1:13" x14ac:dyDescent="0.4">
      <c r="A253" s="44" t="s">
        <v>743</v>
      </c>
      <c r="B253" s="40" t="s">
        <v>134</v>
      </c>
      <c r="C253" s="42">
        <v>4</v>
      </c>
      <c r="D253" s="40" t="s">
        <v>312</v>
      </c>
      <c r="E253" s="40"/>
      <c r="F253" s="40"/>
      <c r="G253" s="40"/>
      <c r="H253" s="115"/>
      <c r="I253" s="40">
        <v>99</v>
      </c>
      <c r="J253" s="40" t="str">
        <f t="shared" si="7"/>
        <v>266_99</v>
      </c>
      <c r="K253" s="40"/>
      <c r="L253" s="40"/>
      <c r="M253" s="36" t="str">
        <f>"換気_"&amp;D253</f>
        <v>換気_第一種換気設備の有効換気量率</v>
      </c>
    </row>
    <row r="254" spans="1:13" x14ac:dyDescent="0.4">
      <c r="A254" s="37" t="s">
        <v>744</v>
      </c>
      <c r="B254" s="46" t="s">
        <v>135</v>
      </c>
      <c r="C254" s="47">
        <v>1</v>
      </c>
      <c r="D254" s="48" t="s">
        <v>832</v>
      </c>
      <c r="E254" s="48"/>
      <c r="F254" s="48"/>
      <c r="G254" s="48"/>
      <c r="H254" s="119"/>
      <c r="I254" s="48" t="s">
        <v>314</v>
      </c>
      <c r="J254" s="48" t="str">
        <f t="shared" si="7"/>
        <v>267_評価しない、または設置しない</v>
      </c>
      <c r="K254" s="48"/>
      <c r="L254" s="48"/>
      <c r="M254" s="36" t="str">
        <f>"換気_"&amp;D254</f>
        <v>換気_熱交換型換気設備</v>
      </c>
    </row>
    <row r="255" spans="1:13" x14ac:dyDescent="0.4">
      <c r="A255" s="37" t="s">
        <v>744</v>
      </c>
      <c r="B255" s="48" t="s">
        <v>135</v>
      </c>
      <c r="C255" s="51">
        <v>1</v>
      </c>
      <c r="D255" s="50"/>
      <c r="E255" s="50"/>
      <c r="F255" s="50"/>
      <c r="G255" s="50"/>
      <c r="H255" s="120"/>
      <c r="I255" s="50" t="s">
        <v>315</v>
      </c>
      <c r="J255" s="50" t="str">
        <f t="shared" si="7"/>
        <v>267_設置する</v>
      </c>
      <c r="K255" s="50"/>
      <c r="L255" s="50"/>
    </row>
    <row r="256" spans="1:13" x14ac:dyDescent="0.4">
      <c r="A256" s="37" t="s">
        <v>745</v>
      </c>
      <c r="B256" s="48" t="s">
        <v>135</v>
      </c>
      <c r="C256" s="49">
        <v>2</v>
      </c>
      <c r="D256" s="50" t="s">
        <v>316</v>
      </c>
      <c r="E256" s="50"/>
      <c r="F256" s="50"/>
      <c r="G256" s="50"/>
      <c r="H256" s="120"/>
      <c r="I256" s="50">
        <v>99</v>
      </c>
      <c r="J256" s="50" t="str">
        <f t="shared" si="7"/>
        <v>269_99</v>
      </c>
      <c r="K256" s="50"/>
      <c r="L256" s="50"/>
      <c r="M256" s="36" t="str">
        <f>"換気_"&amp;D256</f>
        <v>換気_温度交換効率</v>
      </c>
    </row>
    <row r="257" spans="1:13" x14ac:dyDescent="0.4">
      <c r="A257" s="37" t="s">
        <v>746</v>
      </c>
      <c r="B257" s="48" t="s">
        <v>135</v>
      </c>
      <c r="C257" s="49">
        <v>2</v>
      </c>
      <c r="D257" s="48" t="s">
        <v>317</v>
      </c>
      <c r="E257" s="48"/>
      <c r="F257" s="48"/>
      <c r="G257" s="48"/>
      <c r="H257" s="119"/>
      <c r="I257" s="48" t="s">
        <v>974</v>
      </c>
      <c r="J257" s="48" t="str">
        <f t="shared" si="7"/>
        <v>270_入力しない（規定値を用いる</v>
      </c>
      <c r="K257" s="48"/>
      <c r="L257" s="48"/>
      <c r="M257" s="36" t="str">
        <f>"換気_"&amp;D257</f>
        <v>換気_温度交換効率の補正係数の入力</v>
      </c>
    </row>
    <row r="258" spans="1:13" x14ac:dyDescent="0.4">
      <c r="A258" s="37" t="s">
        <v>746</v>
      </c>
      <c r="B258" s="48" t="s">
        <v>135</v>
      </c>
      <c r="C258" s="49">
        <v>2</v>
      </c>
      <c r="D258" s="50"/>
      <c r="E258" s="50"/>
      <c r="F258" s="50"/>
      <c r="G258" s="50"/>
      <c r="H258" s="120"/>
      <c r="I258" s="50" t="s">
        <v>55</v>
      </c>
      <c r="J258" s="50" t="str">
        <f t="shared" si="7"/>
        <v>270_入力する</v>
      </c>
      <c r="K258" s="50"/>
      <c r="L258" s="50"/>
    </row>
    <row r="259" spans="1:13" x14ac:dyDescent="0.4">
      <c r="A259" s="37" t="s">
        <v>747</v>
      </c>
      <c r="B259" s="48" t="s">
        <v>135</v>
      </c>
      <c r="C259" s="49">
        <v>2</v>
      </c>
      <c r="D259" s="50" t="s">
        <v>318</v>
      </c>
      <c r="E259" s="50"/>
      <c r="F259" s="50"/>
      <c r="G259" s="50"/>
      <c r="H259" s="120"/>
      <c r="I259" s="50">
        <v>99</v>
      </c>
      <c r="J259" s="50" t="str">
        <f t="shared" si="7"/>
        <v>272_99</v>
      </c>
      <c r="K259" s="50"/>
      <c r="L259" s="50"/>
      <c r="M259" s="36" t="str">
        <f>"換気_"&amp;D259</f>
        <v>換気_給気と排気の比率による温度交換効率の補正係数</v>
      </c>
    </row>
    <row r="260" spans="1:13" x14ac:dyDescent="0.4">
      <c r="A260" s="44" t="s">
        <v>748</v>
      </c>
      <c r="B260" s="50" t="s">
        <v>135</v>
      </c>
      <c r="C260" s="49">
        <v>2</v>
      </c>
      <c r="D260" s="50" t="s">
        <v>319</v>
      </c>
      <c r="E260" s="50"/>
      <c r="F260" s="50"/>
      <c r="G260" s="50"/>
      <c r="H260" s="120"/>
      <c r="I260" s="50">
        <v>99</v>
      </c>
      <c r="J260" s="50" t="str">
        <f t="shared" si="7"/>
        <v>273_99</v>
      </c>
      <c r="K260" s="50"/>
      <c r="L260" s="50"/>
      <c r="M260" s="36" t="str">
        <f>"換気_"&amp;D260</f>
        <v>換気_排気過多時における住宅外皮経由の漏気による温度交換効率の補正係数</v>
      </c>
    </row>
    <row r="261" spans="1:13" x14ac:dyDescent="0.4">
      <c r="A261" s="37" t="str">
        <f t="shared" ref="A261:A305" si="8">TEXT(ROW()-1,"000")</f>
        <v>260</v>
      </c>
      <c r="B261" s="58" t="s">
        <v>136</v>
      </c>
      <c r="C261" s="66">
        <v>1</v>
      </c>
      <c r="D261" s="38" t="s">
        <v>838</v>
      </c>
      <c r="E261" s="38"/>
      <c r="F261" s="38"/>
      <c r="G261" s="38"/>
      <c r="H261" s="116"/>
      <c r="I261" s="38" t="s">
        <v>321</v>
      </c>
      <c r="J261" s="38" t="str">
        <f t="shared" si="7"/>
        <v>260_給湯設備がある（浴室等がある）</v>
      </c>
      <c r="K261" s="38"/>
      <c r="L261" s="38"/>
    </row>
    <row r="262" spans="1:13" x14ac:dyDescent="0.4">
      <c r="A262" s="37" t="str">
        <f t="shared" si="8"/>
        <v>261</v>
      </c>
      <c r="B262" s="38" t="s">
        <v>136</v>
      </c>
      <c r="C262" s="67">
        <v>1</v>
      </c>
      <c r="D262" s="38"/>
      <c r="E262" s="38"/>
      <c r="F262" s="38"/>
      <c r="G262" s="38"/>
      <c r="H262" s="116"/>
      <c r="I262" s="38" t="s">
        <v>322</v>
      </c>
      <c r="J262" s="38" t="str">
        <f t="shared" si="7"/>
        <v>261_給湯設備がある（浴室等がない）</v>
      </c>
      <c r="K262" s="38"/>
      <c r="L262" s="38"/>
    </row>
    <row r="263" spans="1:13" x14ac:dyDescent="0.4">
      <c r="A263" s="37" t="str">
        <f t="shared" si="8"/>
        <v>262</v>
      </c>
      <c r="B263" s="38" t="s">
        <v>136</v>
      </c>
      <c r="C263" s="68">
        <v>1</v>
      </c>
      <c r="D263" s="40"/>
      <c r="E263" s="40"/>
      <c r="F263" s="40"/>
      <c r="G263" s="40"/>
      <c r="H263" s="115"/>
      <c r="I263" s="40" t="s">
        <v>323</v>
      </c>
      <c r="J263" s="40" t="str">
        <f t="shared" si="7"/>
        <v>262_給湯設備がない</v>
      </c>
      <c r="K263" s="40"/>
      <c r="L263" s="40"/>
    </row>
    <row r="264" spans="1:13" x14ac:dyDescent="0.4">
      <c r="A264" s="37" t="str">
        <f t="shared" si="8"/>
        <v>263</v>
      </c>
      <c r="B264" s="38" t="s">
        <v>136</v>
      </c>
      <c r="C264" s="67">
        <v>2</v>
      </c>
      <c r="D264" s="38" t="s">
        <v>324</v>
      </c>
      <c r="E264" s="38"/>
      <c r="F264" s="38"/>
      <c r="G264" s="38"/>
      <c r="H264" s="116"/>
      <c r="I264" s="38" t="s">
        <v>342</v>
      </c>
      <c r="J264" s="38" t="str">
        <f t="shared" si="7"/>
        <v>263_ガス従来型給湯機</v>
      </c>
      <c r="K264" s="38"/>
      <c r="L264" s="38"/>
    </row>
    <row r="265" spans="1:13" x14ac:dyDescent="0.4">
      <c r="A265" s="37" t="str">
        <f t="shared" si="8"/>
        <v>264</v>
      </c>
      <c r="B265" s="38" t="s">
        <v>136</v>
      </c>
      <c r="C265" s="67">
        <v>2</v>
      </c>
      <c r="D265" s="38"/>
      <c r="E265" s="38"/>
      <c r="F265" s="38"/>
      <c r="G265" s="38"/>
      <c r="H265" s="116"/>
      <c r="I265" s="38" t="s">
        <v>325</v>
      </c>
      <c r="J265" s="38" t="str">
        <f t="shared" si="7"/>
        <v>264_ガス潜熱回収型給湯機</v>
      </c>
      <c r="K265" s="38"/>
      <c r="L265" s="38"/>
    </row>
    <row r="266" spans="1:13" x14ac:dyDescent="0.4">
      <c r="A266" s="37" t="str">
        <f t="shared" si="8"/>
        <v>265</v>
      </c>
      <c r="B266" s="38" t="s">
        <v>136</v>
      </c>
      <c r="C266" s="67">
        <v>2</v>
      </c>
      <c r="D266" s="38"/>
      <c r="E266" s="38"/>
      <c r="F266" s="38"/>
      <c r="G266" s="38"/>
      <c r="H266" s="116"/>
      <c r="I266" s="38" t="s">
        <v>326</v>
      </c>
      <c r="J266" s="38" t="str">
        <f t="shared" si="7"/>
        <v>265_石油従来型給湯機</v>
      </c>
      <c r="K266" s="38"/>
      <c r="L266" s="38"/>
    </row>
    <row r="267" spans="1:13" x14ac:dyDescent="0.4">
      <c r="A267" s="37" t="str">
        <f t="shared" si="8"/>
        <v>266</v>
      </c>
      <c r="B267" s="38" t="s">
        <v>136</v>
      </c>
      <c r="C267" s="67">
        <v>2</v>
      </c>
      <c r="D267" s="38"/>
      <c r="E267" s="38"/>
      <c r="F267" s="38"/>
      <c r="G267" s="38"/>
      <c r="H267" s="116"/>
      <c r="I267" s="38" t="s">
        <v>327</v>
      </c>
      <c r="J267" s="38" t="str">
        <f t="shared" si="7"/>
        <v>266_石油潜熱回収型給湯機</v>
      </c>
      <c r="K267" s="38"/>
      <c r="L267" s="38"/>
    </row>
    <row r="268" spans="1:13" x14ac:dyDescent="0.4">
      <c r="A268" s="37" t="str">
        <f t="shared" si="8"/>
        <v>267</v>
      </c>
      <c r="B268" s="38" t="s">
        <v>136</v>
      </c>
      <c r="C268" s="67">
        <v>2</v>
      </c>
      <c r="D268" s="38"/>
      <c r="E268" s="38"/>
      <c r="F268" s="38"/>
      <c r="G268" s="38"/>
      <c r="H268" s="116"/>
      <c r="I268" s="38" t="s">
        <v>328</v>
      </c>
      <c r="J268" s="38" t="str">
        <f t="shared" si="7"/>
        <v>267_電気ヒーター給湯機</v>
      </c>
      <c r="K268" s="38"/>
      <c r="L268" s="38"/>
    </row>
    <row r="269" spans="1:13" x14ac:dyDescent="0.4">
      <c r="A269" s="37" t="str">
        <f t="shared" si="8"/>
        <v>268</v>
      </c>
      <c r="B269" s="38" t="s">
        <v>136</v>
      </c>
      <c r="C269" s="67">
        <v>2</v>
      </c>
      <c r="D269" s="38"/>
      <c r="E269" s="38"/>
      <c r="F269" s="38"/>
      <c r="G269" s="38"/>
      <c r="H269" s="116"/>
      <c r="I269" s="38" t="s">
        <v>329</v>
      </c>
      <c r="J269" s="38" t="str">
        <f t="shared" si="7"/>
        <v>268_電気ヒートポンプ給湯機（CO2冷媒またはR32冷媒）（太陽熱利用設備を使用しないもの）</v>
      </c>
      <c r="K269" s="38"/>
      <c r="L269" s="38"/>
    </row>
    <row r="270" spans="1:13" x14ac:dyDescent="0.4">
      <c r="A270" s="37" t="str">
        <f t="shared" si="8"/>
        <v>269</v>
      </c>
      <c r="B270" s="38" t="s">
        <v>136</v>
      </c>
      <c r="C270" s="67">
        <v>2</v>
      </c>
      <c r="D270" s="38"/>
      <c r="E270" s="38"/>
      <c r="F270" s="38"/>
      <c r="G270" s="38"/>
      <c r="H270" s="116"/>
      <c r="I270" s="38" t="s">
        <v>330</v>
      </c>
      <c r="J270" s="38" t="str">
        <f t="shared" si="7"/>
        <v>269_電気ヒートポンプ・ガス瞬間式併用型給湯機</v>
      </c>
      <c r="K270" s="38"/>
      <c r="L270" s="38"/>
    </row>
    <row r="271" spans="1:13" x14ac:dyDescent="0.4">
      <c r="A271" s="37" t="str">
        <f t="shared" si="8"/>
        <v>270</v>
      </c>
      <c r="B271" s="38" t="s">
        <v>136</v>
      </c>
      <c r="C271" s="67">
        <v>2</v>
      </c>
      <c r="D271" s="38"/>
      <c r="E271" s="38"/>
      <c r="F271" s="38"/>
      <c r="G271" s="38"/>
      <c r="H271" s="116"/>
      <c r="I271" s="38" t="s">
        <v>331</v>
      </c>
      <c r="J271" s="38" t="str">
        <f t="shared" si="7"/>
        <v>270_ガス従来型給湯温水暖房機</v>
      </c>
      <c r="K271" s="38"/>
      <c r="L271" s="38"/>
    </row>
    <row r="272" spans="1:13" x14ac:dyDescent="0.4">
      <c r="A272" s="37" t="str">
        <f t="shared" si="8"/>
        <v>271</v>
      </c>
      <c r="B272" s="38" t="s">
        <v>136</v>
      </c>
      <c r="C272" s="67">
        <v>2</v>
      </c>
      <c r="D272" s="38"/>
      <c r="E272" s="38"/>
      <c r="F272" s="38"/>
      <c r="G272" s="38"/>
      <c r="H272" s="116"/>
      <c r="I272" s="38" t="s">
        <v>332</v>
      </c>
      <c r="J272" s="38" t="str">
        <f t="shared" si="7"/>
        <v>271_ガス潜熱回収型給湯温水暖房機</v>
      </c>
      <c r="K272" s="38"/>
      <c r="L272" s="38"/>
    </row>
    <row r="273" spans="1:12" x14ac:dyDescent="0.4">
      <c r="A273" s="37" t="str">
        <f t="shared" si="8"/>
        <v>272</v>
      </c>
      <c r="B273" s="38" t="s">
        <v>136</v>
      </c>
      <c r="C273" s="67">
        <v>2</v>
      </c>
      <c r="D273" s="38"/>
      <c r="E273" s="38"/>
      <c r="F273" s="38"/>
      <c r="G273" s="38"/>
      <c r="H273" s="116"/>
      <c r="I273" s="38" t="s">
        <v>333</v>
      </c>
      <c r="J273" s="38" t="str">
        <f t="shared" si="7"/>
        <v>272_石油従来型給湯温水暖房機</v>
      </c>
      <c r="K273" s="38"/>
      <c r="L273" s="38"/>
    </row>
    <row r="274" spans="1:12" x14ac:dyDescent="0.4">
      <c r="A274" s="37" t="str">
        <f t="shared" si="8"/>
        <v>273</v>
      </c>
      <c r="B274" s="38" t="s">
        <v>136</v>
      </c>
      <c r="C274" s="67">
        <v>2</v>
      </c>
      <c r="D274" s="38"/>
      <c r="E274" s="38"/>
      <c r="F274" s="38"/>
      <c r="G274" s="38"/>
      <c r="H274" s="116"/>
      <c r="I274" s="38" t="s">
        <v>334</v>
      </c>
      <c r="J274" s="38" t="str">
        <f t="shared" si="7"/>
        <v>273_石油潜熱回収型給湯温水暖房機</v>
      </c>
      <c r="K274" s="38"/>
      <c r="L274" s="38"/>
    </row>
    <row r="275" spans="1:12" x14ac:dyDescent="0.4">
      <c r="A275" s="37" t="str">
        <f t="shared" si="8"/>
        <v>274</v>
      </c>
      <c r="B275" s="38" t="s">
        <v>136</v>
      </c>
      <c r="C275" s="67">
        <v>2</v>
      </c>
      <c r="D275" s="38"/>
      <c r="E275" s="38"/>
      <c r="F275" s="38"/>
      <c r="G275" s="38"/>
      <c r="H275" s="116"/>
      <c r="I275" s="38" t="s">
        <v>335</v>
      </c>
      <c r="J275" s="38" t="str">
        <f t="shared" si="7"/>
        <v>274_電気ヒーター給湯温水暖房機</v>
      </c>
      <c r="K275" s="38"/>
      <c r="L275" s="38"/>
    </row>
    <row r="276" spans="1:12" x14ac:dyDescent="0.4">
      <c r="A276" s="37" t="str">
        <f t="shared" si="8"/>
        <v>275</v>
      </c>
      <c r="B276" s="38" t="s">
        <v>136</v>
      </c>
      <c r="C276" s="67">
        <v>2</v>
      </c>
      <c r="D276" s="38"/>
      <c r="E276" s="38"/>
      <c r="F276" s="38"/>
      <c r="G276" s="38"/>
      <c r="H276" s="116"/>
      <c r="I276" s="38" t="s">
        <v>336</v>
      </c>
      <c r="J276" s="38" t="str">
        <f t="shared" si="7"/>
        <v>275_電気ヒートポンプ・ガス瞬間式併用型給湯温水暖房機（暖房部：電気ヒートポンプ・ガス | 給湯部：ガス | 貯湯タンク：あり）</v>
      </c>
      <c r="K276" s="38"/>
      <c r="L276" s="38"/>
    </row>
    <row r="277" spans="1:12" x14ac:dyDescent="0.4">
      <c r="A277" s="37" t="str">
        <f t="shared" si="8"/>
        <v>276</v>
      </c>
      <c r="B277" s="38" t="s">
        <v>136</v>
      </c>
      <c r="C277" s="67">
        <v>2</v>
      </c>
      <c r="D277" s="38"/>
      <c r="E277" s="38"/>
      <c r="F277" s="38"/>
      <c r="G277" s="38"/>
      <c r="H277" s="116"/>
      <c r="I277" s="38" t="s">
        <v>337</v>
      </c>
      <c r="J277" s="38" t="str">
        <f t="shared" si="7"/>
        <v>276_電気ヒートポンプ・ガス瞬間式併用型給湯温水暖房機（暖房部：電気ヒートポンプ・ガス | 給湯部：ガス | 貯湯タンク：なし）</v>
      </c>
      <c r="K277" s="38"/>
      <c r="L277" s="38"/>
    </row>
    <row r="278" spans="1:12" x14ac:dyDescent="0.4">
      <c r="A278" s="37" t="str">
        <f t="shared" si="8"/>
        <v>277</v>
      </c>
      <c r="B278" s="38" t="s">
        <v>136</v>
      </c>
      <c r="C278" s="67">
        <v>2</v>
      </c>
      <c r="D278" s="38"/>
      <c r="E278" s="38"/>
      <c r="F278" s="38"/>
      <c r="G278" s="38"/>
      <c r="H278" s="116"/>
      <c r="I278" s="38" t="s">
        <v>338</v>
      </c>
      <c r="J278" s="38" t="str">
        <f t="shared" si="7"/>
        <v>277_電気ヒートポンプ・ガス瞬間式併用型給湯温水暖房機（暖房部：電気ヒートポンプ・ガス | 給湯部：電気ヒートポンプ・ガス）</v>
      </c>
      <c r="K278" s="38"/>
      <c r="L278" s="38"/>
    </row>
    <row r="279" spans="1:12" x14ac:dyDescent="0.4">
      <c r="A279" s="37" t="str">
        <f t="shared" si="8"/>
        <v>278</v>
      </c>
      <c r="B279" s="38" t="s">
        <v>136</v>
      </c>
      <c r="C279" s="67">
        <v>2</v>
      </c>
      <c r="D279" s="38"/>
      <c r="E279" s="38"/>
      <c r="F279" s="38"/>
      <c r="G279" s="38"/>
      <c r="H279" s="116"/>
      <c r="I279" s="38" t="s">
        <v>339</v>
      </c>
      <c r="J279" s="38" t="str">
        <f t="shared" si="7"/>
        <v>278_電気ヒートポンプ・ガス瞬間式併用型給湯温水暖房機（暖房部：ガス | 給湯部：電気ヒートポンプ・ガス）</v>
      </c>
      <c r="K279" s="38"/>
      <c r="L279" s="38"/>
    </row>
    <row r="280" spans="1:12" x14ac:dyDescent="0.4">
      <c r="A280" s="37" t="str">
        <f t="shared" si="8"/>
        <v>279</v>
      </c>
      <c r="B280" s="38" t="s">
        <v>136</v>
      </c>
      <c r="C280" s="67">
        <v>2</v>
      </c>
      <c r="D280" s="38"/>
      <c r="E280" s="38"/>
      <c r="F280" s="38"/>
      <c r="G280" s="38"/>
      <c r="H280" s="116"/>
      <c r="I280" s="38" t="s">
        <v>65</v>
      </c>
      <c r="J280" s="38" t="str">
        <f t="shared" si="7"/>
        <v>279_コージェネレーション</v>
      </c>
      <c r="K280" s="38"/>
      <c r="L280" s="38"/>
    </row>
    <row r="281" spans="1:12" x14ac:dyDescent="0.4">
      <c r="A281" s="37" t="str">
        <f t="shared" si="8"/>
        <v>280</v>
      </c>
      <c r="B281" s="38" t="s">
        <v>136</v>
      </c>
      <c r="C281" s="67">
        <v>2</v>
      </c>
      <c r="D281" s="38"/>
      <c r="E281" s="38"/>
      <c r="F281" s="38"/>
      <c r="G281" s="38"/>
      <c r="H281" s="116"/>
      <c r="I281" s="38" t="s">
        <v>340</v>
      </c>
      <c r="J281" s="38" t="str">
        <f t="shared" si="7"/>
        <v>280_その他の給湯設備機器</v>
      </c>
      <c r="K281" s="38"/>
      <c r="L281" s="38"/>
    </row>
    <row r="282" spans="1:12" x14ac:dyDescent="0.4">
      <c r="A282" s="37" t="str">
        <f t="shared" si="8"/>
        <v>281</v>
      </c>
      <c r="B282" s="38" t="s">
        <v>136</v>
      </c>
      <c r="C282" s="67">
        <v>2</v>
      </c>
      <c r="D282" s="38"/>
      <c r="E282" s="38"/>
      <c r="F282" s="38"/>
      <c r="G282" s="38"/>
      <c r="H282" s="116"/>
      <c r="I282" s="38" t="s">
        <v>53</v>
      </c>
      <c r="J282" s="38" t="str">
        <f t="shared" si="7"/>
        <v>281_基準値の算定において想定される機器（増改築部分を対象に評価する場合の基準設定仕様）</v>
      </c>
      <c r="K282" s="38"/>
      <c r="L282" s="38"/>
    </row>
    <row r="283" spans="1:12" x14ac:dyDescent="0.4">
      <c r="A283" s="37" t="str">
        <f t="shared" si="8"/>
        <v>282</v>
      </c>
      <c r="B283" s="38" t="s">
        <v>136</v>
      </c>
      <c r="C283" s="68">
        <v>2</v>
      </c>
      <c r="D283" s="40"/>
      <c r="E283" s="40"/>
      <c r="F283" s="40"/>
      <c r="G283" s="40"/>
      <c r="H283" s="115"/>
      <c r="I283" s="40" t="s">
        <v>341</v>
      </c>
      <c r="J283" s="40" t="str">
        <f t="shared" si="7"/>
        <v>282_給湯設備機器を設置しない</v>
      </c>
      <c r="K283" s="40"/>
      <c r="L283" s="40"/>
    </row>
    <row r="284" spans="1:12" x14ac:dyDescent="0.4">
      <c r="A284" s="37" t="str">
        <f t="shared" si="8"/>
        <v>283</v>
      </c>
      <c r="B284" s="38" t="s">
        <v>136</v>
      </c>
      <c r="C284" s="42">
        <v>3</v>
      </c>
      <c r="D284" s="38" t="s">
        <v>360</v>
      </c>
      <c r="E284" s="38"/>
      <c r="F284" s="38"/>
      <c r="G284" s="38"/>
      <c r="H284" s="116"/>
      <c r="I284" s="38" t="s">
        <v>361</v>
      </c>
      <c r="J284" s="38" t="str">
        <f t="shared" si="7"/>
        <v>283_品番を指定しない（規定値を用いる）</v>
      </c>
      <c r="K284" s="38"/>
      <c r="L284" s="38"/>
    </row>
    <row r="285" spans="1:12" x14ac:dyDescent="0.4">
      <c r="A285" s="37" t="str">
        <f t="shared" si="8"/>
        <v>284</v>
      </c>
      <c r="B285" s="38" t="s">
        <v>136</v>
      </c>
      <c r="C285" s="42">
        <v>3</v>
      </c>
      <c r="D285" s="38"/>
      <c r="E285" s="38"/>
      <c r="F285" s="38"/>
      <c r="G285" s="38"/>
      <c r="H285" s="116"/>
      <c r="I285" s="38" t="s">
        <v>362</v>
      </c>
      <c r="J285" s="38" t="str">
        <f t="shared" si="7"/>
        <v>284_品番を指定しない（JIS効率を入力する）</v>
      </c>
      <c r="K285" s="38"/>
      <c r="L285" s="38"/>
    </row>
    <row r="286" spans="1:12" x14ac:dyDescent="0.4">
      <c r="A286" s="37" t="str">
        <f t="shared" si="8"/>
        <v>285</v>
      </c>
      <c r="B286" s="38" t="s">
        <v>136</v>
      </c>
      <c r="C286" s="42">
        <v>3</v>
      </c>
      <c r="D286" s="38"/>
      <c r="E286" s="38"/>
      <c r="F286" s="38"/>
      <c r="G286" s="38"/>
      <c r="H286" s="116"/>
      <c r="I286" s="38" t="s">
        <v>363</v>
      </c>
      <c r="J286" s="38" t="str">
        <f t="shared" si="7"/>
        <v>285_品番を指定しない（パラメータを入力する）</v>
      </c>
      <c r="K286" s="38"/>
      <c r="L286" s="38"/>
    </row>
    <row r="287" spans="1:12" x14ac:dyDescent="0.4">
      <c r="A287" s="37" t="str">
        <f t="shared" si="8"/>
        <v>286</v>
      </c>
      <c r="B287" s="38" t="s">
        <v>136</v>
      </c>
      <c r="C287" s="42">
        <v>3</v>
      </c>
      <c r="D287" s="40"/>
      <c r="E287" s="40"/>
      <c r="F287" s="40"/>
      <c r="G287" s="40"/>
      <c r="H287" s="115"/>
      <c r="I287" s="40" t="s">
        <v>364</v>
      </c>
      <c r="J287" s="40" t="str">
        <f t="shared" si="7"/>
        <v>286_品番を指定する</v>
      </c>
      <c r="K287" s="38"/>
      <c r="L287" s="38"/>
    </row>
    <row r="288" spans="1:12" x14ac:dyDescent="0.4">
      <c r="A288" s="37" t="str">
        <f t="shared" si="8"/>
        <v>287</v>
      </c>
      <c r="B288" s="38" t="s">
        <v>136</v>
      </c>
      <c r="C288" s="42">
        <v>3</v>
      </c>
      <c r="D288" s="43" t="s">
        <v>871</v>
      </c>
      <c r="E288" s="43"/>
      <c r="F288" s="43"/>
      <c r="G288" s="43"/>
      <c r="H288" s="117"/>
      <c r="I288" s="43" t="s">
        <v>870</v>
      </c>
      <c r="J288" s="43" t="str">
        <f t="shared" si="7"/>
        <v>287_三菱電機株式会社 SRT-P377UBD-E135 SRT-MU417-P SRT-PT377UBD-E135 2025-ME007</v>
      </c>
      <c r="K288" s="38"/>
      <c r="L288" s="38"/>
    </row>
    <row r="289" spans="1:12" x14ac:dyDescent="0.4">
      <c r="A289" s="37" t="str">
        <f t="shared" si="8"/>
        <v>288</v>
      </c>
      <c r="B289" s="38" t="s">
        <v>136</v>
      </c>
      <c r="C289" s="42">
        <v>3</v>
      </c>
      <c r="D289" s="38" t="s">
        <v>365</v>
      </c>
      <c r="E289" s="38"/>
      <c r="F289" s="38"/>
      <c r="G289" s="38"/>
      <c r="H289" s="116"/>
      <c r="I289" s="38" t="s">
        <v>366</v>
      </c>
      <c r="J289" s="38" t="str">
        <f t="shared" si="7"/>
        <v>288_フロン系冷媒</v>
      </c>
      <c r="K289" s="38"/>
      <c r="L289" s="38"/>
    </row>
    <row r="290" spans="1:12" x14ac:dyDescent="0.4">
      <c r="A290" s="37" t="str">
        <f t="shared" si="8"/>
        <v>289</v>
      </c>
      <c r="B290" s="38" t="s">
        <v>136</v>
      </c>
      <c r="C290" s="42">
        <v>3</v>
      </c>
      <c r="D290" s="40"/>
      <c r="E290" s="40"/>
      <c r="F290" s="40"/>
      <c r="G290" s="40"/>
      <c r="H290" s="115"/>
      <c r="I290" s="40" t="s">
        <v>367</v>
      </c>
      <c r="J290" s="40" t="str">
        <f t="shared" si="7"/>
        <v>289_プロパン系冷媒</v>
      </c>
      <c r="K290" s="40"/>
      <c r="L290" s="40"/>
    </row>
    <row r="291" spans="1:12" x14ac:dyDescent="0.4">
      <c r="A291" s="37" t="str">
        <f t="shared" si="8"/>
        <v>290</v>
      </c>
      <c r="B291" s="38" t="s">
        <v>136</v>
      </c>
      <c r="C291" s="42">
        <v>3</v>
      </c>
      <c r="D291" s="38" t="s">
        <v>368</v>
      </c>
      <c r="E291" s="38"/>
      <c r="F291" s="38"/>
      <c r="G291" s="38"/>
      <c r="H291" s="116"/>
      <c r="I291" s="38" t="s">
        <v>369</v>
      </c>
      <c r="J291" s="38" t="str">
        <f t="shared" si="7"/>
        <v>290_タンク容量（小）</v>
      </c>
      <c r="K291" s="38"/>
      <c r="L291" s="38"/>
    </row>
    <row r="292" spans="1:12" x14ac:dyDescent="0.4">
      <c r="A292" s="37" t="str">
        <f t="shared" si="8"/>
        <v>291</v>
      </c>
      <c r="B292" s="38" t="s">
        <v>136</v>
      </c>
      <c r="C292" s="42">
        <v>3</v>
      </c>
      <c r="D292" s="40"/>
      <c r="E292" s="40"/>
      <c r="F292" s="40"/>
      <c r="G292" s="40"/>
      <c r="H292" s="115"/>
      <c r="I292" s="40" t="s">
        <v>370</v>
      </c>
      <c r="J292" s="40" t="str">
        <f t="shared" si="7"/>
        <v>291_タンク容量（大）</v>
      </c>
      <c r="K292" s="40"/>
      <c r="L292" s="40"/>
    </row>
    <row r="293" spans="1:12" x14ac:dyDescent="0.4">
      <c r="A293" s="37" t="str">
        <f t="shared" si="8"/>
        <v>292</v>
      </c>
      <c r="B293" s="38" t="s">
        <v>136</v>
      </c>
      <c r="C293" s="42">
        <v>3</v>
      </c>
      <c r="D293" s="38" t="s">
        <v>843</v>
      </c>
      <c r="E293" s="38"/>
      <c r="F293" s="38"/>
      <c r="G293" s="38"/>
      <c r="H293" s="116"/>
      <c r="I293" s="38" t="s">
        <v>54</v>
      </c>
      <c r="J293" s="38" t="str">
        <f t="shared" si="7"/>
        <v>292_入力しない（規定値を用いる）</v>
      </c>
      <c r="K293" s="38"/>
      <c r="L293" s="38"/>
    </row>
    <row r="294" spans="1:12" x14ac:dyDescent="0.4">
      <c r="A294" s="37" t="str">
        <f t="shared" si="8"/>
        <v>293</v>
      </c>
      <c r="B294" s="38" t="s">
        <v>136</v>
      </c>
      <c r="C294" s="42">
        <v>3</v>
      </c>
      <c r="D294" s="38"/>
      <c r="E294" s="38"/>
      <c r="F294" s="38"/>
      <c r="G294" s="38"/>
      <c r="H294" s="116"/>
      <c r="I294" s="38" t="s">
        <v>343</v>
      </c>
      <c r="J294" s="38" t="str">
        <f t="shared" si="7"/>
        <v>293_効率（エネルギー消費効率）を入力</v>
      </c>
      <c r="K294" s="38"/>
      <c r="L294" s="38"/>
    </row>
    <row r="295" spans="1:12" x14ac:dyDescent="0.4">
      <c r="A295" s="37" t="str">
        <f t="shared" si="8"/>
        <v>294</v>
      </c>
      <c r="B295" s="38" t="s">
        <v>136</v>
      </c>
      <c r="C295" s="42">
        <v>3</v>
      </c>
      <c r="D295" s="40"/>
      <c r="E295" s="40"/>
      <c r="F295" s="40"/>
      <c r="G295" s="40"/>
      <c r="H295" s="115"/>
      <c r="I295" s="40" t="s">
        <v>344</v>
      </c>
      <c r="J295" s="40" t="str">
        <f t="shared" si="7"/>
        <v>294_効率（モード熱効率）を入力</v>
      </c>
      <c r="K295" s="40"/>
      <c r="L295" s="40"/>
    </row>
    <row r="296" spans="1:12" x14ac:dyDescent="0.4">
      <c r="A296" s="37" t="str">
        <f t="shared" si="8"/>
        <v>295</v>
      </c>
      <c r="B296" s="38" t="s">
        <v>136</v>
      </c>
      <c r="C296" s="42">
        <v>3</v>
      </c>
      <c r="D296" s="38" t="s">
        <v>381</v>
      </c>
      <c r="E296" s="38"/>
      <c r="F296" s="38"/>
      <c r="G296" s="38"/>
      <c r="H296" s="116"/>
      <c r="I296" s="38" t="s">
        <v>54</v>
      </c>
      <c r="J296" s="38" t="str">
        <f t="shared" si="7"/>
        <v>295_入力しない（規定値を用いる）</v>
      </c>
      <c r="K296" s="38"/>
      <c r="L296" s="38"/>
    </row>
    <row r="297" spans="1:12" x14ac:dyDescent="0.4">
      <c r="A297" s="37" t="str">
        <f t="shared" si="8"/>
        <v>296</v>
      </c>
      <c r="B297" s="38" t="s">
        <v>136</v>
      </c>
      <c r="C297" s="42">
        <v>3</v>
      </c>
      <c r="D297" s="38"/>
      <c r="E297" s="38"/>
      <c r="F297" s="38"/>
      <c r="G297" s="38"/>
      <c r="H297" s="116"/>
      <c r="I297" s="38" t="s">
        <v>359</v>
      </c>
      <c r="J297" s="38" t="str">
        <f t="shared" si="7"/>
        <v>296_効率（熱効率）を入力</v>
      </c>
      <c r="K297" s="38"/>
      <c r="L297" s="38"/>
    </row>
    <row r="298" spans="1:12" x14ac:dyDescent="0.4">
      <c r="A298" s="37" t="str">
        <f t="shared" si="8"/>
        <v>297</v>
      </c>
      <c r="B298" s="38" t="s">
        <v>136</v>
      </c>
      <c r="C298" s="42">
        <v>3</v>
      </c>
      <c r="D298" s="40"/>
      <c r="E298" s="40"/>
      <c r="F298" s="40"/>
      <c r="G298" s="40"/>
      <c r="H298" s="115"/>
      <c r="I298" s="40" t="s">
        <v>344</v>
      </c>
      <c r="J298" s="40" t="str">
        <f t="shared" si="7"/>
        <v>297_効率（モード熱効率）を入力</v>
      </c>
      <c r="K298" s="40"/>
      <c r="L298" s="40"/>
    </row>
    <row r="299" spans="1:12" x14ac:dyDescent="0.4">
      <c r="A299" s="37" t="str">
        <f t="shared" si="8"/>
        <v>298</v>
      </c>
      <c r="B299" s="38" t="s">
        <v>136</v>
      </c>
      <c r="C299" s="42">
        <v>3</v>
      </c>
      <c r="D299" s="38" t="s">
        <v>845</v>
      </c>
      <c r="E299" s="38"/>
      <c r="F299" s="38"/>
      <c r="G299" s="38"/>
      <c r="H299" s="116"/>
      <c r="I299" s="38" t="s">
        <v>54</v>
      </c>
      <c r="J299" s="38" t="str">
        <f t="shared" si="7"/>
        <v>298_入力しない（規定値を用いる）</v>
      </c>
      <c r="K299" s="38"/>
      <c r="L299" s="38"/>
    </row>
    <row r="300" spans="1:12" x14ac:dyDescent="0.4">
      <c r="A300" s="37" t="str">
        <f t="shared" si="8"/>
        <v>299</v>
      </c>
      <c r="B300" s="38" t="s">
        <v>136</v>
      </c>
      <c r="C300" s="42">
        <v>3</v>
      </c>
      <c r="D300" s="38"/>
      <c r="E300" s="38"/>
      <c r="F300" s="38"/>
      <c r="G300" s="38"/>
      <c r="H300" s="116"/>
      <c r="I300" s="38" t="s">
        <v>371</v>
      </c>
      <c r="J300" s="38" t="str">
        <f t="shared" si="7"/>
        <v>299_効率（暖房部：熱効率 | 給湯部：エネルギー消費効率）を入力</v>
      </c>
      <c r="K300" s="38"/>
      <c r="L300" s="38"/>
    </row>
    <row r="301" spans="1:12" x14ac:dyDescent="0.4">
      <c r="A301" s="37" t="str">
        <f t="shared" si="8"/>
        <v>300</v>
      </c>
      <c r="B301" s="38" t="s">
        <v>136</v>
      </c>
      <c r="C301" s="42">
        <v>3</v>
      </c>
      <c r="D301" s="40"/>
      <c r="E301" s="40"/>
      <c r="F301" s="40"/>
      <c r="G301" s="40"/>
      <c r="H301" s="115"/>
      <c r="I301" s="40" t="s">
        <v>372</v>
      </c>
      <c r="J301" s="40" t="str">
        <f t="shared" si="7"/>
        <v>300_効率（暖房部：熱効率 | 給湯部：モード熱効率）を入力</v>
      </c>
      <c r="K301" s="40"/>
      <c r="L301" s="40"/>
    </row>
    <row r="302" spans="1:12" x14ac:dyDescent="0.4">
      <c r="A302" s="37" t="str">
        <f t="shared" si="8"/>
        <v>301</v>
      </c>
      <c r="B302" s="38" t="s">
        <v>136</v>
      </c>
      <c r="C302" s="42">
        <v>3</v>
      </c>
      <c r="D302" s="38" t="s">
        <v>847</v>
      </c>
      <c r="E302" s="38"/>
      <c r="F302" s="38"/>
      <c r="G302" s="38"/>
      <c r="H302" s="116"/>
      <c r="I302" s="38" t="s">
        <v>54</v>
      </c>
      <c r="J302" s="38" t="str">
        <f t="shared" si="7"/>
        <v>301_入力しない（規定値を用いる）</v>
      </c>
      <c r="K302" s="38"/>
      <c r="L302" s="38"/>
    </row>
    <row r="303" spans="1:12" x14ac:dyDescent="0.4">
      <c r="A303" s="37" t="str">
        <f t="shared" si="8"/>
        <v>302</v>
      </c>
      <c r="B303" s="38" t="s">
        <v>136</v>
      </c>
      <c r="C303" s="42">
        <v>3</v>
      </c>
      <c r="D303" s="38"/>
      <c r="E303" s="38"/>
      <c r="F303" s="38"/>
      <c r="G303" s="38"/>
      <c r="H303" s="116"/>
      <c r="I303" s="38" t="s">
        <v>373</v>
      </c>
      <c r="J303" s="38" t="str">
        <f t="shared" si="7"/>
        <v>302_効率（暖房部：熱効率 | 給湯部：熱効率）を入力</v>
      </c>
      <c r="K303" s="38"/>
      <c r="L303" s="38"/>
    </row>
    <row r="304" spans="1:12" x14ac:dyDescent="0.4">
      <c r="A304" s="37" t="str">
        <f t="shared" si="8"/>
        <v>303</v>
      </c>
      <c r="B304" s="38" t="s">
        <v>136</v>
      </c>
      <c r="C304" s="42">
        <v>3</v>
      </c>
      <c r="D304" s="40"/>
      <c r="E304" s="40"/>
      <c r="F304" s="40"/>
      <c r="G304" s="40"/>
      <c r="H304" s="115"/>
      <c r="I304" s="40" t="s">
        <v>372</v>
      </c>
      <c r="J304" s="40" t="str">
        <f t="shared" si="7"/>
        <v>303_効率（暖房部：熱効率 | 給湯部：モード熱効率）を入力</v>
      </c>
      <c r="K304" s="40"/>
      <c r="L304" s="40"/>
    </row>
    <row r="305" spans="1:12" x14ac:dyDescent="0.4">
      <c r="A305" s="37" t="str">
        <f t="shared" si="8"/>
        <v>304</v>
      </c>
      <c r="B305" s="38" t="s">
        <v>136</v>
      </c>
      <c r="C305" s="42">
        <v>3</v>
      </c>
      <c r="D305" s="38" t="s">
        <v>849</v>
      </c>
      <c r="E305" s="38"/>
      <c r="F305" s="38"/>
      <c r="G305" s="38"/>
      <c r="H305" s="116"/>
      <c r="I305" s="38" t="s">
        <v>54</v>
      </c>
      <c r="J305" s="38" t="str">
        <f t="shared" si="7"/>
        <v>304_入力しない（規定値を用いる）</v>
      </c>
      <c r="K305" s="38"/>
      <c r="L305" s="38"/>
    </row>
    <row r="306" spans="1:12" x14ac:dyDescent="0.4">
      <c r="A306" s="37" t="str">
        <f t="shared" ref="A306:A369" si="9">TEXT(ROW()-1,"000")</f>
        <v>305</v>
      </c>
      <c r="B306" s="38" t="s">
        <v>136</v>
      </c>
      <c r="C306" s="42">
        <v>3</v>
      </c>
      <c r="D306" s="38"/>
      <c r="E306" s="38"/>
      <c r="F306" s="38"/>
      <c r="G306" s="38"/>
      <c r="H306" s="116"/>
      <c r="I306" s="38" t="s">
        <v>374</v>
      </c>
      <c r="J306" s="38" t="str">
        <f t="shared" si="7"/>
        <v>305_効率（給湯部：熱効率）を入力</v>
      </c>
      <c r="K306" s="38"/>
      <c r="L306" s="38"/>
    </row>
    <row r="307" spans="1:12" x14ac:dyDescent="0.4">
      <c r="A307" s="37" t="str">
        <f t="shared" si="9"/>
        <v>306</v>
      </c>
      <c r="B307" s="38" t="s">
        <v>136</v>
      </c>
      <c r="C307" s="42">
        <v>3</v>
      </c>
      <c r="D307" s="40"/>
      <c r="E307" s="40"/>
      <c r="F307" s="40"/>
      <c r="G307" s="40"/>
      <c r="H307" s="115"/>
      <c r="I307" s="40" t="s">
        <v>375</v>
      </c>
      <c r="J307" s="40" t="str">
        <f t="shared" si="7"/>
        <v>306_効率（給湯部：モード熱効率）を入力</v>
      </c>
      <c r="K307" s="40"/>
      <c r="L307" s="40"/>
    </row>
    <row r="308" spans="1:12" x14ac:dyDescent="0.4">
      <c r="A308" s="37" t="str">
        <f t="shared" si="9"/>
        <v>307</v>
      </c>
      <c r="B308" s="38" t="s">
        <v>136</v>
      </c>
      <c r="C308" s="42">
        <v>3</v>
      </c>
      <c r="D308" s="38" t="s">
        <v>376</v>
      </c>
      <c r="E308" s="38"/>
      <c r="F308" s="38"/>
      <c r="G308" s="38"/>
      <c r="H308" s="116"/>
      <c r="I308" s="38" t="s">
        <v>377</v>
      </c>
      <c r="J308" s="38" t="str">
        <f t="shared" ref="J308:J371" si="10">A308&amp;"_"&amp;I308</f>
        <v>307_区分1</v>
      </c>
      <c r="K308" s="38"/>
      <c r="L308" s="38"/>
    </row>
    <row r="309" spans="1:12" x14ac:dyDescent="0.4">
      <c r="A309" s="37" t="str">
        <f t="shared" si="9"/>
        <v>308</v>
      </c>
      <c r="B309" s="38" t="s">
        <v>136</v>
      </c>
      <c r="C309" s="42">
        <v>3</v>
      </c>
      <c r="D309" s="40"/>
      <c r="E309" s="40"/>
      <c r="F309" s="40"/>
      <c r="G309" s="40"/>
      <c r="H309" s="115"/>
      <c r="I309" s="40" t="s">
        <v>378</v>
      </c>
      <c r="J309" s="40" t="str">
        <f t="shared" si="10"/>
        <v>308_区分2</v>
      </c>
      <c r="K309" s="40"/>
      <c r="L309" s="40"/>
    </row>
    <row r="310" spans="1:12" x14ac:dyDescent="0.4">
      <c r="A310" s="37" t="str">
        <f t="shared" si="9"/>
        <v>309</v>
      </c>
      <c r="B310" s="38" t="s">
        <v>136</v>
      </c>
      <c r="C310" s="42">
        <v>3</v>
      </c>
      <c r="D310" s="38" t="s">
        <v>840</v>
      </c>
      <c r="E310" s="38"/>
      <c r="F310" s="38"/>
      <c r="G310" s="38"/>
      <c r="H310" s="116"/>
      <c r="I310" s="38" t="s">
        <v>379</v>
      </c>
      <c r="J310" s="38" t="str">
        <f t="shared" si="10"/>
        <v>309_品番を指定しない（仕様を選択する）</v>
      </c>
      <c r="K310" s="38"/>
      <c r="L310" s="38"/>
    </row>
    <row r="311" spans="1:12" x14ac:dyDescent="0.4">
      <c r="A311" s="37" t="str">
        <f t="shared" si="9"/>
        <v>310</v>
      </c>
      <c r="B311" s="38" t="s">
        <v>136</v>
      </c>
      <c r="C311" s="42">
        <v>3</v>
      </c>
      <c r="D311" s="38"/>
      <c r="E311" s="38"/>
      <c r="F311" s="38"/>
      <c r="G311" s="38"/>
      <c r="H311" s="116"/>
      <c r="I311" s="38" t="s">
        <v>363</v>
      </c>
      <c r="J311" s="38" t="str">
        <f t="shared" si="10"/>
        <v>310_品番を指定しない（パラメータを入力する）</v>
      </c>
      <c r="K311" s="38"/>
      <c r="L311" s="38"/>
    </row>
    <row r="312" spans="1:12" x14ac:dyDescent="0.4">
      <c r="A312" s="37" t="str">
        <f t="shared" si="9"/>
        <v>311</v>
      </c>
      <c r="B312" s="38" t="s">
        <v>136</v>
      </c>
      <c r="C312" s="42">
        <v>3</v>
      </c>
      <c r="D312" s="40"/>
      <c r="E312" s="40"/>
      <c r="F312" s="40"/>
      <c r="G312" s="40"/>
      <c r="H312" s="115"/>
      <c r="I312" s="40" t="s">
        <v>364</v>
      </c>
      <c r="J312" s="40" t="str">
        <f t="shared" si="10"/>
        <v>311_品番を指定する</v>
      </c>
      <c r="K312" s="40"/>
      <c r="L312" s="40"/>
    </row>
    <row r="313" spans="1:12" x14ac:dyDescent="0.4">
      <c r="A313" s="37" t="str">
        <f t="shared" si="9"/>
        <v>312</v>
      </c>
      <c r="B313" s="38" t="s">
        <v>136</v>
      </c>
      <c r="C313" s="45">
        <v>3</v>
      </c>
      <c r="D313" s="43" t="s">
        <v>841</v>
      </c>
      <c r="E313" s="43"/>
      <c r="F313" s="43"/>
      <c r="G313" s="43"/>
      <c r="H313" s="117"/>
      <c r="I313" s="43" t="s">
        <v>380</v>
      </c>
      <c r="J313" s="43" t="str">
        <f t="shared" si="10"/>
        <v>312_（その他の給湯設備機器の名称）</v>
      </c>
      <c r="K313" s="43"/>
      <c r="L313" s="43"/>
    </row>
    <row r="314" spans="1:12" x14ac:dyDescent="0.4">
      <c r="A314" s="37" t="str">
        <f t="shared" si="9"/>
        <v>313</v>
      </c>
      <c r="B314" s="38" t="s">
        <v>136</v>
      </c>
      <c r="C314" s="67">
        <v>4</v>
      </c>
      <c r="D314" s="38" t="s">
        <v>345</v>
      </c>
      <c r="E314" s="38"/>
      <c r="F314" s="38"/>
      <c r="G314" s="38"/>
      <c r="H314" s="116"/>
      <c r="I314" s="38" t="s">
        <v>346</v>
      </c>
      <c r="J314" s="38" t="str">
        <f t="shared" si="10"/>
        <v>313_給湯単機能</v>
      </c>
      <c r="K314" s="38"/>
      <c r="L314" s="38"/>
    </row>
    <row r="315" spans="1:12" x14ac:dyDescent="0.4">
      <c r="A315" s="37" t="str">
        <f t="shared" si="9"/>
        <v>314</v>
      </c>
      <c r="B315" s="38" t="s">
        <v>136</v>
      </c>
      <c r="C315" s="67">
        <v>4</v>
      </c>
      <c r="D315" s="38"/>
      <c r="E315" s="38"/>
      <c r="F315" s="38"/>
      <c r="G315" s="38"/>
      <c r="H315" s="116"/>
      <c r="I315" s="38" t="s">
        <v>347</v>
      </c>
      <c r="J315" s="38" t="str">
        <f t="shared" si="10"/>
        <v>314_ふろ給湯機（追焚なし）</v>
      </c>
      <c r="K315" s="38"/>
      <c r="L315" s="38"/>
    </row>
    <row r="316" spans="1:12" x14ac:dyDescent="0.4">
      <c r="A316" s="37" t="str">
        <f t="shared" si="9"/>
        <v>315</v>
      </c>
      <c r="B316" s="38" t="s">
        <v>136</v>
      </c>
      <c r="C316" s="68">
        <v>4</v>
      </c>
      <c r="D316" s="40"/>
      <c r="E316" s="40"/>
      <c r="F316" s="40"/>
      <c r="G316" s="40"/>
      <c r="H316" s="115"/>
      <c r="I316" s="40" t="s">
        <v>348</v>
      </c>
      <c r="J316" s="40" t="str">
        <f t="shared" si="10"/>
        <v>315_ふろ給湯機（追焚あり）</v>
      </c>
      <c r="K316" s="40"/>
      <c r="L316" s="40"/>
    </row>
    <row r="317" spans="1:12" x14ac:dyDescent="0.4">
      <c r="A317" s="37" t="str">
        <f t="shared" si="9"/>
        <v>316</v>
      </c>
      <c r="B317" s="38" t="s">
        <v>136</v>
      </c>
      <c r="C317" s="67">
        <v>5</v>
      </c>
      <c r="D317" s="38" t="s">
        <v>351</v>
      </c>
      <c r="E317" s="38"/>
      <c r="F317" s="38"/>
      <c r="G317" s="38"/>
      <c r="H317" s="116"/>
      <c r="I317" s="38" t="s">
        <v>349</v>
      </c>
      <c r="J317" s="38" t="str">
        <f t="shared" si="10"/>
        <v>316_評価しない、または先分岐方式</v>
      </c>
      <c r="K317" s="38"/>
      <c r="L317" s="38"/>
    </row>
    <row r="318" spans="1:12" x14ac:dyDescent="0.4">
      <c r="A318" s="37" t="str">
        <f t="shared" si="9"/>
        <v>317</v>
      </c>
      <c r="B318" s="38" t="s">
        <v>136</v>
      </c>
      <c r="C318" s="68">
        <v>5</v>
      </c>
      <c r="D318" s="40"/>
      <c r="E318" s="40"/>
      <c r="F318" s="40"/>
      <c r="G318" s="40"/>
      <c r="H318" s="115"/>
      <c r="I318" s="40" t="s">
        <v>350</v>
      </c>
      <c r="J318" s="40" t="str">
        <f t="shared" si="10"/>
        <v>317_ヘッダー方式</v>
      </c>
      <c r="K318" s="40"/>
      <c r="L318" s="40"/>
    </row>
    <row r="319" spans="1:12" x14ac:dyDescent="0.4">
      <c r="A319" s="37" t="str">
        <f t="shared" si="9"/>
        <v>318</v>
      </c>
      <c r="B319" s="38" t="s">
        <v>136</v>
      </c>
      <c r="C319" s="67">
        <v>6</v>
      </c>
      <c r="D319" s="38" t="s">
        <v>842</v>
      </c>
      <c r="E319" s="38"/>
      <c r="F319" s="38"/>
      <c r="G319" s="38"/>
      <c r="H319" s="116"/>
      <c r="I319" s="38" t="s">
        <v>354</v>
      </c>
      <c r="J319" s="38" t="str">
        <f t="shared" si="10"/>
        <v>318_評価しない、または2バルブ水栓</v>
      </c>
      <c r="K319" s="38"/>
      <c r="L319" s="38"/>
    </row>
    <row r="320" spans="1:12" x14ac:dyDescent="0.4">
      <c r="A320" s="37" t="str">
        <f t="shared" si="9"/>
        <v>319</v>
      </c>
      <c r="B320" s="38" t="s">
        <v>136</v>
      </c>
      <c r="C320" s="67">
        <v>6</v>
      </c>
      <c r="D320" s="40"/>
      <c r="E320" s="40"/>
      <c r="F320" s="40"/>
      <c r="G320" s="40"/>
      <c r="H320" s="115"/>
      <c r="I320" s="40" t="s">
        <v>355</v>
      </c>
      <c r="J320" s="40" t="str">
        <f t="shared" si="10"/>
        <v>319_2バルブ水栓以外のその他の水栓</v>
      </c>
      <c r="K320" s="40"/>
      <c r="L320" s="40"/>
    </row>
    <row r="321" spans="1:13" x14ac:dyDescent="0.4">
      <c r="A321" s="37" t="str">
        <f t="shared" si="9"/>
        <v>320</v>
      </c>
      <c r="B321" s="38" t="s">
        <v>136</v>
      </c>
      <c r="C321" s="67">
        <v>6</v>
      </c>
      <c r="D321" s="38" t="s">
        <v>352</v>
      </c>
      <c r="E321" s="38"/>
      <c r="F321" s="38"/>
      <c r="G321" s="38"/>
      <c r="H321" s="116"/>
      <c r="I321" s="38" t="s">
        <v>354</v>
      </c>
      <c r="J321" s="38" t="str">
        <f t="shared" si="10"/>
        <v>320_評価しない、または2バルブ水栓</v>
      </c>
      <c r="K321" s="38"/>
      <c r="L321" s="38"/>
    </row>
    <row r="322" spans="1:13" x14ac:dyDescent="0.4">
      <c r="A322" s="37" t="str">
        <f t="shared" si="9"/>
        <v>321</v>
      </c>
      <c r="B322" s="38" t="s">
        <v>136</v>
      </c>
      <c r="C322" s="67">
        <v>6</v>
      </c>
      <c r="D322" s="40"/>
      <c r="E322" s="40"/>
      <c r="F322" s="40"/>
      <c r="G322" s="40"/>
      <c r="H322" s="115"/>
      <c r="I322" s="40" t="s">
        <v>355</v>
      </c>
      <c r="J322" s="40" t="str">
        <f t="shared" si="10"/>
        <v>321_2バルブ水栓以外のその他の水栓</v>
      </c>
      <c r="K322" s="40"/>
      <c r="L322" s="40"/>
    </row>
    <row r="323" spans="1:13" x14ac:dyDescent="0.4">
      <c r="A323" s="37" t="str">
        <f t="shared" si="9"/>
        <v>322</v>
      </c>
      <c r="B323" s="38" t="s">
        <v>136</v>
      </c>
      <c r="C323" s="67">
        <v>6</v>
      </c>
      <c r="D323" s="38" t="s">
        <v>353</v>
      </c>
      <c r="E323" s="38"/>
      <c r="F323" s="38"/>
      <c r="G323" s="38"/>
      <c r="H323" s="116"/>
      <c r="I323" s="38" t="s">
        <v>354</v>
      </c>
      <c r="J323" s="38" t="str">
        <f t="shared" si="10"/>
        <v>322_評価しない、または2バルブ水栓</v>
      </c>
      <c r="K323" s="38"/>
      <c r="L323" s="38"/>
    </row>
    <row r="324" spans="1:13" x14ac:dyDescent="0.4">
      <c r="A324" s="37" t="str">
        <f t="shared" si="9"/>
        <v>323</v>
      </c>
      <c r="B324" s="38" t="s">
        <v>136</v>
      </c>
      <c r="C324" s="68">
        <v>6</v>
      </c>
      <c r="D324" s="40"/>
      <c r="E324" s="40"/>
      <c r="F324" s="40"/>
      <c r="G324" s="40"/>
      <c r="H324" s="115"/>
      <c r="I324" s="40" t="s">
        <v>355</v>
      </c>
      <c r="J324" s="40" t="str">
        <f t="shared" si="10"/>
        <v>323_2バルブ水栓以外のその他の水栓</v>
      </c>
      <c r="K324" s="40"/>
      <c r="L324" s="40"/>
    </row>
    <row r="325" spans="1:13" x14ac:dyDescent="0.4">
      <c r="A325" s="37" t="str">
        <f t="shared" si="9"/>
        <v>324</v>
      </c>
      <c r="B325" s="38" t="s">
        <v>136</v>
      </c>
      <c r="C325" s="67">
        <v>7</v>
      </c>
      <c r="D325" s="38" t="s">
        <v>356</v>
      </c>
      <c r="E325" s="38"/>
      <c r="F325" s="38"/>
      <c r="G325" s="38"/>
      <c r="H325" s="116"/>
      <c r="I325" s="38" t="s">
        <v>357</v>
      </c>
      <c r="J325" s="38" t="str">
        <f t="shared" si="10"/>
        <v>324_評価しない、または高断熱浴槽を使用しない</v>
      </c>
      <c r="K325" s="38"/>
      <c r="L325" s="38"/>
    </row>
    <row r="326" spans="1:13" x14ac:dyDescent="0.4">
      <c r="A326" s="44" t="str">
        <f t="shared" si="9"/>
        <v>325</v>
      </c>
      <c r="B326" s="40" t="s">
        <v>136</v>
      </c>
      <c r="C326" s="68">
        <v>7</v>
      </c>
      <c r="D326" s="40"/>
      <c r="E326" s="40"/>
      <c r="F326" s="40"/>
      <c r="G326" s="40"/>
      <c r="H326" s="115"/>
      <c r="I326" s="40" t="s">
        <v>358</v>
      </c>
      <c r="J326" s="40" t="str">
        <f t="shared" si="10"/>
        <v>325_高断熱浴槽を使用する</v>
      </c>
      <c r="K326" s="40"/>
      <c r="L326" s="40"/>
    </row>
    <row r="327" spans="1:13" x14ac:dyDescent="0.4">
      <c r="A327" s="37" t="str">
        <f t="shared" si="9"/>
        <v>326</v>
      </c>
      <c r="B327" s="48" t="s">
        <v>137</v>
      </c>
      <c r="C327" s="49">
        <v>1</v>
      </c>
      <c r="D327" s="48" t="s">
        <v>385</v>
      </c>
      <c r="E327" s="48"/>
      <c r="F327" s="48"/>
      <c r="G327" s="48"/>
      <c r="H327" s="119"/>
      <c r="I327" s="48" t="s">
        <v>51</v>
      </c>
      <c r="J327" s="48" t="str">
        <f t="shared" si="10"/>
        <v>326_設置しない</v>
      </c>
      <c r="K327" s="48"/>
      <c r="L327" s="48"/>
      <c r="M327" s="36" t="str">
        <f>"照明_"&amp;D327</f>
        <v>照明_主たる居室の照明設備</v>
      </c>
    </row>
    <row r="328" spans="1:13" x14ac:dyDescent="0.4">
      <c r="A328" s="37" t="str">
        <f t="shared" si="9"/>
        <v>327</v>
      </c>
      <c r="B328" s="48" t="s">
        <v>137</v>
      </c>
      <c r="C328" s="49">
        <v>1</v>
      </c>
      <c r="D328" s="50"/>
      <c r="E328" s="50"/>
      <c r="F328" s="50"/>
      <c r="G328" s="50"/>
      <c r="H328" s="120"/>
      <c r="I328" s="50" t="s">
        <v>315</v>
      </c>
      <c r="J328" s="50" t="str">
        <f t="shared" si="10"/>
        <v>327_設置する</v>
      </c>
      <c r="K328" s="50"/>
      <c r="L328" s="50"/>
    </row>
    <row r="329" spans="1:13" x14ac:dyDescent="0.4">
      <c r="A329" s="37" t="str">
        <f t="shared" si="9"/>
        <v>328</v>
      </c>
      <c r="B329" s="48" t="s">
        <v>137</v>
      </c>
      <c r="C329" s="49">
        <v>1</v>
      </c>
      <c r="D329" s="48" t="s">
        <v>387</v>
      </c>
      <c r="E329" s="48"/>
      <c r="F329" s="48"/>
      <c r="G329" s="48"/>
      <c r="H329" s="119"/>
      <c r="I329" s="48" t="s">
        <v>382</v>
      </c>
      <c r="J329" s="48" t="str">
        <f t="shared" si="10"/>
        <v>328_すべての機器においてLEDを使用している</v>
      </c>
      <c r="K329" s="48"/>
      <c r="L329" s="48"/>
      <c r="M329" s="36" t="str">
        <f>"照明_"&amp;D329</f>
        <v>照明_照明器具の種類_主たる居室</v>
      </c>
    </row>
    <row r="330" spans="1:13" x14ac:dyDescent="0.4">
      <c r="A330" s="37" t="str">
        <f t="shared" si="9"/>
        <v>329</v>
      </c>
      <c r="B330" s="48" t="s">
        <v>137</v>
      </c>
      <c r="C330" s="49">
        <v>1</v>
      </c>
      <c r="D330" s="48"/>
      <c r="E330" s="48"/>
      <c r="F330" s="48"/>
      <c r="G330" s="48"/>
      <c r="H330" s="119"/>
      <c r="I330" s="48" t="s">
        <v>383</v>
      </c>
      <c r="J330" s="48" t="str">
        <f t="shared" si="10"/>
        <v>329_すべての機器において白熱灯以外を使用している</v>
      </c>
      <c r="K330" s="48"/>
      <c r="L330" s="48"/>
    </row>
    <row r="331" spans="1:13" x14ac:dyDescent="0.4">
      <c r="A331" s="37" t="str">
        <f t="shared" si="9"/>
        <v>330</v>
      </c>
      <c r="B331" s="48" t="s">
        <v>137</v>
      </c>
      <c r="C331" s="49">
        <v>1</v>
      </c>
      <c r="D331" s="48"/>
      <c r="E331" s="48"/>
      <c r="F331" s="48"/>
      <c r="G331" s="48"/>
      <c r="H331" s="119"/>
      <c r="I331" s="48" t="s">
        <v>384</v>
      </c>
      <c r="J331" s="48" t="str">
        <f t="shared" si="10"/>
        <v>330_いずれかの機器において白熱灯を使用している</v>
      </c>
      <c r="K331" s="48"/>
      <c r="L331" s="48"/>
    </row>
    <row r="332" spans="1:13" x14ac:dyDescent="0.4">
      <c r="A332" s="37" t="str">
        <f t="shared" si="9"/>
        <v>331</v>
      </c>
      <c r="B332" s="48" t="s">
        <v>137</v>
      </c>
      <c r="C332" s="49">
        <v>1</v>
      </c>
      <c r="D332" s="50"/>
      <c r="E332" s="50"/>
      <c r="F332" s="50"/>
      <c r="G332" s="50"/>
      <c r="H332" s="120"/>
      <c r="I332" s="50" t="s">
        <v>53</v>
      </c>
      <c r="J332" s="50" t="str">
        <f t="shared" si="10"/>
        <v>331_基準値の算定において想定される機器（増改築部分を対象に評価する場合の基準設定仕様）</v>
      </c>
      <c r="K332" s="50"/>
      <c r="L332" s="50"/>
    </row>
    <row r="333" spans="1:13" x14ac:dyDescent="0.4">
      <c r="A333" s="37" t="str">
        <f t="shared" si="9"/>
        <v>332</v>
      </c>
      <c r="B333" s="48" t="s">
        <v>137</v>
      </c>
      <c r="C333" s="49">
        <v>1</v>
      </c>
      <c r="D333" s="48" t="s">
        <v>388</v>
      </c>
      <c r="E333" s="48"/>
      <c r="F333" s="48"/>
      <c r="G333" s="48"/>
      <c r="H333" s="119"/>
      <c r="I333" s="48" t="s">
        <v>70</v>
      </c>
      <c r="J333" s="48" t="str">
        <f t="shared" si="10"/>
        <v>332_評価しない、または採用しない</v>
      </c>
      <c r="K333" s="48"/>
      <c r="L333" s="48"/>
      <c r="M333" s="36" t="str">
        <f>"照明_"&amp;D333</f>
        <v>照明_多灯分散照明方式_主たる居室</v>
      </c>
    </row>
    <row r="334" spans="1:13" x14ac:dyDescent="0.4">
      <c r="A334" s="37" t="str">
        <f t="shared" si="9"/>
        <v>333</v>
      </c>
      <c r="B334" s="48" t="s">
        <v>137</v>
      </c>
      <c r="C334" s="49">
        <v>1</v>
      </c>
      <c r="D334" s="50"/>
      <c r="E334" s="50"/>
      <c r="F334" s="50"/>
      <c r="G334" s="50"/>
      <c r="H334" s="120"/>
      <c r="I334" s="50" t="s">
        <v>71</v>
      </c>
      <c r="J334" s="50" t="str">
        <f t="shared" si="10"/>
        <v>333_採用する</v>
      </c>
      <c r="K334" s="50"/>
      <c r="L334" s="50"/>
    </row>
    <row r="335" spans="1:13" x14ac:dyDescent="0.4">
      <c r="A335" s="37" t="str">
        <f t="shared" si="9"/>
        <v>334</v>
      </c>
      <c r="B335" s="48" t="s">
        <v>137</v>
      </c>
      <c r="C335" s="49">
        <v>1</v>
      </c>
      <c r="D335" s="48" t="s">
        <v>389</v>
      </c>
      <c r="E335" s="48"/>
      <c r="F335" s="48"/>
      <c r="G335" s="48"/>
      <c r="H335" s="119"/>
      <c r="I335" s="48" t="s">
        <v>70</v>
      </c>
      <c r="J335" s="48" t="str">
        <f t="shared" si="10"/>
        <v>334_評価しない、または採用しない</v>
      </c>
      <c r="K335" s="48"/>
      <c r="L335" s="48"/>
      <c r="M335" s="36" t="str">
        <f>"照明_"&amp;D335</f>
        <v>照明_調光が可能な制御_主たる居室</v>
      </c>
    </row>
    <row r="336" spans="1:13" x14ac:dyDescent="0.4">
      <c r="A336" s="37" t="str">
        <f t="shared" si="9"/>
        <v>335</v>
      </c>
      <c r="B336" s="50" t="s">
        <v>137</v>
      </c>
      <c r="C336" s="51">
        <v>1</v>
      </c>
      <c r="D336" s="50"/>
      <c r="E336" s="50"/>
      <c r="F336" s="50"/>
      <c r="G336" s="50"/>
      <c r="H336" s="120"/>
      <c r="I336" s="50" t="s">
        <v>71</v>
      </c>
      <c r="J336" s="50" t="str">
        <f t="shared" si="10"/>
        <v>335_採用する</v>
      </c>
      <c r="K336" s="50"/>
      <c r="L336" s="50"/>
    </row>
    <row r="337" spans="1:13" x14ac:dyDescent="0.4">
      <c r="A337" s="37" t="str">
        <f t="shared" si="9"/>
        <v>336</v>
      </c>
      <c r="B337" s="48" t="s">
        <v>137</v>
      </c>
      <c r="C337" s="49">
        <v>2</v>
      </c>
      <c r="D337" s="48" t="s">
        <v>390</v>
      </c>
      <c r="E337" s="48"/>
      <c r="F337" s="48"/>
      <c r="G337" s="48"/>
      <c r="H337" s="119"/>
      <c r="I337" s="48" t="s">
        <v>51</v>
      </c>
      <c r="J337" s="48" t="str">
        <f t="shared" si="10"/>
        <v>336_設置しない</v>
      </c>
      <c r="K337" s="48"/>
      <c r="L337" s="48"/>
      <c r="M337" s="36" t="str">
        <f>"照明_"&amp;D337</f>
        <v>照明_その他の居室の照明設備</v>
      </c>
    </row>
    <row r="338" spans="1:13" x14ac:dyDescent="0.4">
      <c r="A338" s="37" t="str">
        <f t="shared" si="9"/>
        <v>337</v>
      </c>
      <c r="B338" s="48" t="s">
        <v>137</v>
      </c>
      <c r="C338" s="49">
        <v>2</v>
      </c>
      <c r="D338" s="50"/>
      <c r="E338" s="50"/>
      <c r="F338" s="50"/>
      <c r="G338" s="50"/>
      <c r="H338" s="120"/>
      <c r="I338" s="50" t="s">
        <v>315</v>
      </c>
      <c r="J338" s="50" t="str">
        <f t="shared" si="10"/>
        <v>337_設置する</v>
      </c>
      <c r="K338" s="50"/>
      <c r="L338" s="50"/>
    </row>
    <row r="339" spans="1:13" x14ac:dyDescent="0.4">
      <c r="A339" s="37" t="str">
        <f t="shared" si="9"/>
        <v>338</v>
      </c>
      <c r="B339" s="48" t="s">
        <v>137</v>
      </c>
      <c r="C339" s="49">
        <v>2</v>
      </c>
      <c r="D339" s="48" t="s">
        <v>391</v>
      </c>
      <c r="E339" s="48"/>
      <c r="F339" s="48"/>
      <c r="G339" s="48"/>
      <c r="H339" s="119"/>
      <c r="I339" s="48" t="s">
        <v>382</v>
      </c>
      <c r="J339" s="48" t="str">
        <f t="shared" si="10"/>
        <v>338_すべての機器においてLEDを使用している</v>
      </c>
      <c r="K339" s="48"/>
      <c r="L339" s="48"/>
      <c r="M339" s="36" t="str">
        <f>"照明_"&amp;D339</f>
        <v>照明_照明器具の種類_その他の居室</v>
      </c>
    </row>
    <row r="340" spans="1:13" x14ac:dyDescent="0.4">
      <c r="A340" s="37" t="str">
        <f t="shared" si="9"/>
        <v>339</v>
      </c>
      <c r="B340" s="48" t="s">
        <v>137</v>
      </c>
      <c r="C340" s="49">
        <v>2</v>
      </c>
      <c r="D340" s="48"/>
      <c r="E340" s="48"/>
      <c r="F340" s="48"/>
      <c r="G340" s="48"/>
      <c r="H340" s="119"/>
      <c r="I340" s="48" t="s">
        <v>383</v>
      </c>
      <c r="J340" s="48" t="str">
        <f t="shared" si="10"/>
        <v>339_すべての機器において白熱灯以外を使用している</v>
      </c>
      <c r="K340" s="48"/>
      <c r="L340" s="48"/>
    </row>
    <row r="341" spans="1:13" x14ac:dyDescent="0.4">
      <c r="A341" s="37" t="str">
        <f t="shared" si="9"/>
        <v>340</v>
      </c>
      <c r="B341" s="48" t="s">
        <v>137</v>
      </c>
      <c r="C341" s="49">
        <v>2</v>
      </c>
      <c r="D341" s="48"/>
      <c r="E341" s="48"/>
      <c r="F341" s="48"/>
      <c r="G341" s="48"/>
      <c r="H341" s="119"/>
      <c r="I341" s="48" t="s">
        <v>384</v>
      </c>
      <c r="J341" s="48" t="str">
        <f t="shared" si="10"/>
        <v>340_いずれかの機器において白熱灯を使用している</v>
      </c>
      <c r="K341" s="48"/>
      <c r="L341" s="48"/>
    </row>
    <row r="342" spans="1:13" x14ac:dyDescent="0.4">
      <c r="A342" s="37" t="str">
        <f t="shared" si="9"/>
        <v>341</v>
      </c>
      <c r="B342" s="48" t="s">
        <v>137</v>
      </c>
      <c r="C342" s="49">
        <v>2</v>
      </c>
      <c r="D342" s="50"/>
      <c r="E342" s="50"/>
      <c r="F342" s="50"/>
      <c r="G342" s="50"/>
      <c r="H342" s="120"/>
      <c r="I342" s="50" t="s">
        <v>53</v>
      </c>
      <c r="J342" s="50" t="str">
        <f t="shared" si="10"/>
        <v>341_基準値の算定において想定される機器（増改築部分を対象に評価する場合の基準設定仕様）</v>
      </c>
      <c r="K342" s="50"/>
      <c r="L342" s="50"/>
    </row>
    <row r="343" spans="1:13" x14ac:dyDescent="0.4">
      <c r="A343" s="37" t="str">
        <f t="shared" si="9"/>
        <v>342</v>
      </c>
      <c r="B343" s="48" t="s">
        <v>137</v>
      </c>
      <c r="C343" s="49">
        <v>2</v>
      </c>
      <c r="D343" s="48" t="s">
        <v>392</v>
      </c>
      <c r="E343" s="48"/>
      <c r="F343" s="48"/>
      <c r="G343" s="48"/>
      <c r="H343" s="119"/>
      <c r="I343" s="48" t="s">
        <v>70</v>
      </c>
      <c r="J343" s="48" t="str">
        <f t="shared" si="10"/>
        <v>342_評価しない、または採用しない</v>
      </c>
      <c r="K343" s="48"/>
      <c r="L343" s="48"/>
      <c r="M343" s="36" t="str">
        <f>"照明_"&amp;D343</f>
        <v>照明_調光が可能な制御_その他の居室</v>
      </c>
    </row>
    <row r="344" spans="1:13" x14ac:dyDescent="0.4">
      <c r="A344" s="37" t="str">
        <f t="shared" si="9"/>
        <v>343</v>
      </c>
      <c r="B344" s="50" t="s">
        <v>137</v>
      </c>
      <c r="C344" s="51">
        <v>2</v>
      </c>
      <c r="D344" s="50"/>
      <c r="E344" s="50"/>
      <c r="F344" s="50"/>
      <c r="G344" s="50"/>
      <c r="H344" s="120"/>
      <c r="I344" s="50" t="s">
        <v>71</v>
      </c>
      <c r="J344" s="50" t="str">
        <f t="shared" si="10"/>
        <v>343_採用する</v>
      </c>
      <c r="K344" s="50"/>
      <c r="L344" s="50"/>
    </row>
    <row r="345" spans="1:13" x14ac:dyDescent="0.4">
      <c r="A345" s="37" t="str">
        <f t="shared" si="9"/>
        <v>344</v>
      </c>
      <c r="B345" s="48" t="s">
        <v>137</v>
      </c>
      <c r="C345" s="49">
        <v>3</v>
      </c>
      <c r="D345" s="48" t="s">
        <v>393</v>
      </c>
      <c r="E345" s="48"/>
      <c r="F345" s="48"/>
      <c r="G345" s="48"/>
      <c r="H345" s="119"/>
      <c r="I345" s="48" t="s">
        <v>51</v>
      </c>
      <c r="J345" s="48" t="str">
        <f t="shared" si="10"/>
        <v>344_設置しない</v>
      </c>
      <c r="K345" s="48"/>
      <c r="L345" s="48"/>
      <c r="M345" s="36" t="str">
        <f>"照明_"&amp;D345</f>
        <v>照明_非居室の照明設備</v>
      </c>
    </row>
    <row r="346" spans="1:13" x14ac:dyDescent="0.4">
      <c r="A346" s="37" t="str">
        <f t="shared" si="9"/>
        <v>345</v>
      </c>
      <c r="B346" s="48" t="s">
        <v>137</v>
      </c>
      <c r="C346" s="49">
        <v>3</v>
      </c>
      <c r="D346" s="50"/>
      <c r="E346" s="50"/>
      <c r="F346" s="50"/>
      <c r="G346" s="50"/>
      <c r="H346" s="120"/>
      <c r="I346" s="50" t="s">
        <v>315</v>
      </c>
      <c r="J346" s="50" t="str">
        <f t="shared" si="10"/>
        <v>345_設置する</v>
      </c>
      <c r="K346" s="50"/>
      <c r="L346" s="50"/>
    </row>
    <row r="347" spans="1:13" x14ac:dyDescent="0.4">
      <c r="A347" s="37" t="str">
        <f t="shared" si="9"/>
        <v>346</v>
      </c>
      <c r="B347" s="48" t="s">
        <v>137</v>
      </c>
      <c r="C347" s="49">
        <v>3</v>
      </c>
      <c r="D347" s="48" t="s">
        <v>394</v>
      </c>
      <c r="E347" s="48"/>
      <c r="F347" s="48"/>
      <c r="G347" s="48"/>
      <c r="H347" s="119"/>
      <c r="I347" s="48" t="s">
        <v>382</v>
      </c>
      <c r="J347" s="48" t="str">
        <f t="shared" si="10"/>
        <v>346_すべての機器においてLEDを使用している</v>
      </c>
      <c r="K347" s="48"/>
      <c r="L347" s="48"/>
      <c r="M347" s="36" t="str">
        <f>"照明_"&amp;D347</f>
        <v>照明_照明器具の種類_非居室</v>
      </c>
    </row>
    <row r="348" spans="1:13" x14ac:dyDescent="0.4">
      <c r="A348" s="37" t="str">
        <f t="shared" si="9"/>
        <v>347</v>
      </c>
      <c r="B348" s="48" t="s">
        <v>137</v>
      </c>
      <c r="C348" s="49">
        <v>3</v>
      </c>
      <c r="D348" s="48"/>
      <c r="E348" s="48"/>
      <c r="F348" s="48"/>
      <c r="G348" s="48"/>
      <c r="H348" s="119"/>
      <c r="I348" s="48" t="s">
        <v>383</v>
      </c>
      <c r="J348" s="48" t="str">
        <f t="shared" si="10"/>
        <v>347_すべての機器において白熱灯以外を使用している</v>
      </c>
      <c r="K348" s="48"/>
      <c r="L348" s="48"/>
    </row>
    <row r="349" spans="1:13" x14ac:dyDescent="0.4">
      <c r="A349" s="37" t="str">
        <f t="shared" si="9"/>
        <v>348</v>
      </c>
      <c r="B349" s="48" t="s">
        <v>137</v>
      </c>
      <c r="C349" s="49">
        <v>3</v>
      </c>
      <c r="D349" s="48"/>
      <c r="E349" s="48"/>
      <c r="F349" s="48"/>
      <c r="G349" s="48"/>
      <c r="H349" s="119"/>
      <c r="I349" s="48" t="s">
        <v>384</v>
      </c>
      <c r="J349" s="48" t="str">
        <f t="shared" si="10"/>
        <v>348_いずれかの機器において白熱灯を使用している</v>
      </c>
      <c r="K349" s="48"/>
      <c r="L349" s="48"/>
    </row>
    <row r="350" spans="1:13" x14ac:dyDescent="0.4">
      <c r="A350" s="44" t="str">
        <f t="shared" si="9"/>
        <v>349</v>
      </c>
      <c r="B350" s="50" t="s">
        <v>137</v>
      </c>
      <c r="C350" s="51">
        <v>3</v>
      </c>
      <c r="D350" s="50"/>
      <c r="E350" s="50"/>
      <c r="F350" s="50"/>
      <c r="G350" s="50"/>
      <c r="H350" s="120"/>
      <c r="I350" s="50" t="s">
        <v>53</v>
      </c>
      <c r="J350" s="50" t="str">
        <f t="shared" si="10"/>
        <v>349_基準値の算定において想定される機器（増改築部分を対象に評価する場合の基準設定仕様）</v>
      </c>
      <c r="K350" s="50"/>
      <c r="L350" s="50"/>
    </row>
    <row r="351" spans="1:13" x14ac:dyDescent="0.4">
      <c r="A351" s="37" t="str">
        <f t="shared" si="9"/>
        <v>350</v>
      </c>
      <c r="B351" s="58" t="s">
        <v>138</v>
      </c>
      <c r="C351" s="39" t="s">
        <v>1460</v>
      </c>
      <c r="D351" s="38" t="s">
        <v>432</v>
      </c>
      <c r="E351" s="38"/>
      <c r="F351" s="38"/>
      <c r="G351" s="38"/>
      <c r="H351" s="116"/>
      <c r="I351" s="38" t="s">
        <v>51</v>
      </c>
      <c r="J351" s="38" t="str">
        <f t="shared" si="10"/>
        <v>350_設置しない</v>
      </c>
      <c r="K351" s="38" t="s">
        <v>1481</v>
      </c>
      <c r="L351" s="38" t="s">
        <v>1482</v>
      </c>
      <c r="M351" s="36" t="str">
        <f>"太陽光_"&amp;D351</f>
        <v>太陽光_太陽光発電設備</v>
      </c>
    </row>
    <row r="352" spans="1:13" x14ac:dyDescent="0.4">
      <c r="A352" s="37" t="str">
        <f t="shared" si="9"/>
        <v>351</v>
      </c>
      <c r="B352" s="38" t="s">
        <v>138</v>
      </c>
      <c r="C352" s="45"/>
      <c r="D352" s="40"/>
      <c r="E352" s="40"/>
      <c r="F352" s="40"/>
      <c r="G352" s="40"/>
      <c r="H352" s="115"/>
      <c r="I352" s="40" t="s">
        <v>315</v>
      </c>
      <c r="J352" s="40" t="str">
        <f t="shared" si="10"/>
        <v>351_設置する</v>
      </c>
      <c r="K352" s="40" t="s">
        <v>1480</v>
      </c>
      <c r="L352" s="40" t="s">
        <v>1480</v>
      </c>
    </row>
    <row r="353" spans="1:13" x14ac:dyDescent="0.4">
      <c r="A353" s="37" t="str">
        <f t="shared" si="9"/>
        <v>352</v>
      </c>
      <c r="B353" s="38" t="s">
        <v>138</v>
      </c>
      <c r="C353" s="42" t="s">
        <v>1461</v>
      </c>
      <c r="D353" s="38" t="s">
        <v>433</v>
      </c>
      <c r="E353" s="38"/>
      <c r="F353" s="38"/>
      <c r="G353" s="38"/>
      <c r="H353" s="116"/>
      <c r="I353" s="38" t="s">
        <v>56</v>
      </c>
      <c r="J353" s="38" t="str">
        <f t="shared" si="10"/>
        <v>352_評価しない</v>
      </c>
      <c r="K353" s="38" t="s">
        <v>1484</v>
      </c>
      <c r="L353" s="38" t="s">
        <v>1482</v>
      </c>
      <c r="M353" s="36" t="str">
        <f>"太陽光_"&amp;D353</f>
        <v>太陽光_発電の評価</v>
      </c>
    </row>
    <row r="354" spans="1:13" x14ac:dyDescent="0.4">
      <c r="A354" s="37" t="str">
        <f t="shared" si="9"/>
        <v>353</v>
      </c>
      <c r="B354" s="38" t="s">
        <v>138</v>
      </c>
      <c r="C354" s="45"/>
      <c r="D354" s="40"/>
      <c r="E354" s="40"/>
      <c r="F354" s="40"/>
      <c r="G354" s="40"/>
      <c r="H354" s="115"/>
      <c r="I354" s="40" t="s">
        <v>400</v>
      </c>
      <c r="J354" s="40" t="str">
        <f t="shared" si="10"/>
        <v>353_評価する</v>
      </c>
      <c r="K354" s="40" t="s">
        <v>1484</v>
      </c>
      <c r="L354" s="40" t="s">
        <v>1483</v>
      </c>
    </row>
    <row r="355" spans="1:13" x14ac:dyDescent="0.4">
      <c r="A355" s="37" t="str">
        <f t="shared" si="9"/>
        <v>354</v>
      </c>
      <c r="B355" s="38" t="s">
        <v>138</v>
      </c>
      <c r="C355" s="42" t="s">
        <v>1462</v>
      </c>
      <c r="D355" s="38" t="s">
        <v>434</v>
      </c>
      <c r="E355" s="38"/>
      <c r="F355" s="38"/>
      <c r="G355" s="38"/>
      <c r="H355" s="116"/>
      <c r="I355" s="38" t="s">
        <v>401</v>
      </c>
      <c r="J355" s="38" t="str">
        <f t="shared" si="10"/>
        <v>354_1面</v>
      </c>
      <c r="K355" s="38" t="s">
        <v>1489</v>
      </c>
      <c r="L355" s="38" t="s">
        <v>1486</v>
      </c>
      <c r="M355" s="36" t="str">
        <f>"太陽光_"&amp;D355</f>
        <v>太陽光_方位の異なるパネルの面数</v>
      </c>
    </row>
    <row r="356" spans="1:13" x14ac:dyDescent="0.4">
      <c r="A356" s="37" t="str">
        <f t="shared" si="9"/>
        <v>355</v>
      </c>
      <c r="B356" s="38" t="s">
        <v>138</v>
      </c>
      <c r="C356" s="42"/>
      <c r="D356" s="38"/>
      <c r="E356" s="38"/>
      <c r="F356" s="38"/>
      <c r="G356" s="38"/>
      <c r="H356" s="116"/>
      <c r="I356" s="38" t="s">
        <v>402</v>
      </c>
      <c r="J356" s="38" t="str">
        <f t="shared" si="10"/>
        <v>355_2面</v>
      </c>
      <c r="K356" s="38" t="s">
        <v>1485</v>
      </c>
      <c r="L356" s="38" t="s">
        <v>1487</v>
      </c>
    </row>
    <row r="357" spans="1:13" x14ac:dyDescent="0.4">
      <c r="A357" s="37" t="str">
        <f t="shared" si="9"/>
        <v>356</v>
      </c>
      <c r="B357" s="38" t="s">
        <v>138</v>
      </c>
      <c r="C357" s="42"/>
      <c r="D357" s="38"/>
      <c r="E357" s="38"/>
      <c r="F357" s="38"/>
      <c r="G357" s="38"/>
      <c r="H357" s="116"/>
      <c r="I357" s="38" t="s">
        <v>403</v>
      </c>
      <c r="J357" s="38" t="str">
        <f t="shared" si="10"/>
        <v>356_3面</v>
      </c>
      <c r="K357" s="38" t="s">
        <v>1485</v>
      </c>
      <c r="L357" s="38" t="s">
        <v>1488</v>
      </c>
    </row>
    <row r="358" spans="1:13" x14ac:dyDescent="0.4">
      <c r="A358" s="37" t="str">
        <f t="shared" si="9"/>
        <v>357</v>
      </c>
      <c r="B358" s="38" t="s">
        <v>138</v>
      </c>
      <c r="C358" s="45"/>
      <c r="D358" s="40"/>
      <c r="E358" s="40"/>
      <c r="F358" s="40"/>
      <c r="G358" s="40"/>
      <c r="H358" s="115"/>
      <c r="I358" s="40" t="s">
        <v>404</v>
      </c>
      <c r="J358" s="40" t="str">
        <f t="shared" si="10"/>
        <v>357_4面</v>
      </c>
      <c r="K358" s="40" t="s">
        <v>1485</v>
      </c>
      <c r="L358" s="40" t="s">
        <v>1489</v>
      </c>
    </row>
    <row r="359" spans="1:13" x14ac:dyDescent="0.4">
      <c r="A359" s="37" t="str">
        <f t="shared" si="9"/>
        <v>358</v>
      </c>
      <c r="B359" s="38" t="s">
        <v>138</v>
      </c>
      <c r="C359" s="42" t="s">
        <v>1463</v>
      </c>
      <c r="D359" s="38" t="s">
        <v>435</v>
      </c>
      <c r="E359" s="38"/>
      <c r="F359" s="38"/>
      <c r="G359" s="38"/>
      <c r="H359" s="116"/>
      <c r="I359" s="38" t="s">
        <v>54</v>
      </c>
      <c r="J359" s="38" t="str">
        <f t="shared" si="10"/>
        <v>358_入力しない（規定値を用いる）</v>
      </c>
      <c r="K359" s="38">
        <v>105</v>
      </c>
      <c r="L359" s="38" t="s">
        <v>1482</v>
      </c>
      <c r="M359" s="36" t="str">
        <f>"太陽光_"&amp;D359</f>
        <v>太陽光_パワーコンディショナの定格負荷効率の入力</v>
      </c>
    </row>
    <row r="360" spans="1:13" x14ac:dyDescent="0.4">
      <c r="A360" s="37" t="str">
        <f t="shared" si="9"/>
        <v>359</v>
      </c>
      <c r="B360" s="38" t="s">
        <v>138</v>
      </c>
      <c r="C360" s="45"/>
      <c r="D360" s="40"/>
      <c r="E360" s="40"/>
      <c r="F360" s="40"/>
      <c r="G360" s="40"/>
      <c r="H360" s="115"/>
      <c r="I360" s="40" t="s">
        <v>55</v>
      </c>
      <c r="J360" s="40" t="str">
        <f t="shared" si="10"/>
        <v>359_入力する</v>
      </c>
      <c r="K360" s="40">
        <v>105</v>
      </c>
      <c r="L360" s="40">
        <v>105</v>
      </c>
    </row>
    <row r="361" spans="1:13" x14ac:dyDescent="0.4">
      <c r="A361" s="37" t="str">
        <f t="shared" si="9"/>
        <v>360</v>
      </c>
      <c r="B361" s="40" t="s">
        <v>138</v>
      </c>
      <c r="C361" s="45" t="s">
        <v>1464</v>
      </c>
      <c r="D361" s="40" t="s">
        <v>436</v>
      </c>
      <c r="E361" s="40"/>
      <c r="F361" s="40"/>
      <c r="G361" s="40"/>
      <c r="H361" s="115"/>
      <c r="I361" s="40">
        <v>99</v>
      </c>
      <c r="J361" s="40" t="str">
        <f t="shared" si="10"/>
        <v>360_99</v>
      </c>
      <c r="K361" s="40"/>
      <c r="L361" s="40"/>
      <c r="M361" s="36" t="str">
        <f>"太陽光_"&amp;D361</f>
        <v>太陽光_パワーコンディショナの定格負荷効率</v>
      </c>
    </row>
    <row r="362" spans="1:13" x14ac:dyDescent="0.4">
      <c r="A362" s="37" t="str">
        <f t="shared" si="9"/>
        <v>361</v>
      </c>
      <c r="B362" s="38" t="s">
        <v>138</v>
      </c>
      <c r="C362" s="45" t="s">
        <v>1465</v>
      </c>
      <c r="D362" s="40" t="s">
        <v>441</v>
      </c>
      <c r="E362" s="40"/>
      <c r="F362" s="40"/>
      <c r="G362" s="40"/>
      <c r="H362" s="115"/>
      <c r="I362" s="40">
        <v>99</v>
      </c>
      <c r="J362" s="40" t="str">
        <f t="shared" si="10"/>
        <v>361_99</v>
      </c>
      <c r="K362" s="40"/>
      <c r="L362" s="40"/>
      <c r="M362" s="36" t="str">
        <f>"太陽光_"&amp;D362</f>
        <v>太陽光_太陽電池アレイのシステム容量_パネル1</v>
      </c>
    </row>
    <row r="363" spans="1:13" x14ac:dyDescent="0.4">
      <c r="A363" s="37" t="str">
        <f t="shared" si="9"/>
        <v>362</v>
      </c>
      <c r="B363" s="38" t="s">
        <v>138</v>
      </c>
      <c r="C363" s="42" t="s">
        <v>1466</v>
      </c>
      <c r="D363" s="38" t="s">
        <v>437</v>
      </c>
      <c r="E363" s="38"/>
      <c r="F363" s="38"/>
      <c r="G363" s="38"/>
      <c r="H363" s="116"/>
      <c r="I363" s="38" t="s">
        <v>405</v>
      </c>
      <c r="J363" s="38" t="str">
        <f t="shared" si="10"/>
        <v>362_結晶シリコン系太陽電池</v>
      </c>
      <c r="K363" s="38"/>
      <c r="L363" s="38"/>
      <c r="M363" s="36" t="str">
        <f>"太陽光_"&amp;D363</f>
        <v>太陽光_太陽電池アレイの種類_パネル1</v>
      </c>
    </row>
    <row r="364" spans="1:13" x14ac:dyDescent="0.4">
      <c r="A364" s="37" t="str">
        <f t="shared" si="9"/>
        <v>363</v>
      </c>
      <c r="B364" s="38" t="s">
        <v>138</v>
      </c>
      <c r="C364" s="45"/>
      <c r="D364" s="40"/>
      <c r="E364" s="40"/>
      <c r="F364" s="40"/>
      <c r="G364" s="40"/>
      <c r="H364" s="115"/>
      <c r="I364" s="40" t="s">
        <v>406</v>
      </c>
      <c r="J364" s="40" t="str">
        <f t="shared" si="10"/>
        <v>363_結晶シリコン系以外の太陽電池</v>
      </c>
      <c r="K364" s="40"/>
      <c r="L364" s="40"/>
    </row>
    <row r="365" spans="1:13" x14ac:dyDescent="0.4">
      <c r="A365" s="37" t="str">
        <f t="shared" si="9"/>
        <v>364</v>
      </c>
      <c r="B365" s="38" t="s">
        <v>138</v>
      </c>
      <c r="C365" s="42" t="s">
        <v>1467</v>
      </c>
      <c r="D365" s="38" t="s">
        <v>438</v>
      </c>
      <c r="E365" s="38"/>
      <c r="F365" s="38"/>
      <c r="G365" s="38"/>
      <c r="H365" s="116"/>
      <c r="I365" s="38" t="s">
        <v>407</v>
      </c>
      <c r="J365" s="38" t="str">
        <f t="shared" si="10"/>
        <v>364_架台設置形</v>
      </c>
      <c r="K365" s="38"/>
      <c r="L365" s="38"/>
      <c r="M365" s="36" t="str">
        <f>"太陽光_"&amp;D365</f>
        <v>太陽光_太陽電池アレイ設置方式_パネル1</v>
      </c>
    </row>
    <row r="366" spans="1:13" x14ac:dyDescent="0.4">
      <c r="A366" s="37" t="str">
        <f t="shared" si="9"/>
        <v>365</v>
      </c>
      <c r="B366" s="38" t="s">
        <v>138</v>
      </c>
      <c r="C366" s="42"/>
      <c r="D366" s="38"/>
      <c r="E366" s="38"/>
      <c r="F366" s="38"/>
      <c r="G366" s="38"/>
      <c r="H366" s="116"/>
      <c r="I366" s="38" t="s">
        <v>408</v>
      </c>
      <c r="J366" s="38" t="str">
        <f t="shared" si="10"/>
        <v>365_屋根置き形</v>
      </c>
      <c r="K366" s="38"/>
      <c r="L366" s="38"/>
    </row>
    <row r="367" spans="1:13" x14ac:dyDescent="0.4">
      <c r="A367" s="37" t="str">
        <f t="shared" si="9"/>
        <v>366</v>
      </c>
      <c r="B367" s="38" t="s">
        <v>138</v>
      </c>
      <c r="C367" s="45"/>
      <c r="D367" s="40"/>
      <c r="E367" s="40"/>
      <c r="F367" s="40"/>
      <c r="G367" s="40"/>
      <c r="H367" s="115"/>
      <c r="I367" s="40" t="s">
        <v>409</v>
      </c>
      <c r="J367" s="40" t="str">
        <f t="shared" si="10"/>
        <v>366_その他</v>
      </c>
      <c r="K367" s="40"/>
      <c r="L367" s="40"/>
    </row>
    <row r="368" spans="1:13" x14ac:dyDescent="0.4">
      <c r="A368" s="37" t="str">
        <f t="shared" si="9"/>
        <v>367</v>
      </c>
      <c r="B368" s="38" t="s">
        <v>138</v>
      </c>
      <c r="C368" s="42" t="s">
        <v>1468</v>
      </c>
      <c r="D368" s="38" t="s">
        <v>439</v>
      </c>
      <c r="E368" s="38"/>
      <c r="F368" s="38"/>
      <c r="G368" s="38"/>
      <c r="H368" s="116"/>
      <c r="I368" s="38" t="s">
        <v>410</v>
      </c>
      <c r="J368" s="38" t="str">
        <f t="shared" si="10"/>
        <v>367_真南から東および西へ15度未満</v>
      </c>
      <c r="K368" s="38"/>
      <c r="L368" s="38"/>
      <c r="M368" s="36" t="str">
        <f>"太陽光_"&amp;D368</f>
        <v>太陽光_パネルの設置方位角_パネル1</v>
      </c>
    </row>
    <row r="369" spans="1:13" x14ac:dyDescent="0.4">
      <c r="A369" s="37" t="str">
        <f t="shared" si="9"/>
        <v>368</v>
      </c>
      <c r="B369" s="38" t="s">
        <v>138</v>
      </c>
      <c r="C369" s="42"/>
      <c r="D369" s="38"/>
      <c r="E369" s="38"/>
      <c r="F369" s="38"/>
      <c r="G369" s="38"/>
      <c r="H369" s="116"/>
      <c r="I369" s="38" t="s">
        <v>411</v>
      </c>
      <c r="J369" s="38" t="str">
        <f t="shared" si="10"/>
        <v>368_真南から東へ15度以上45度未満</v>
      </c>
      <c r="K369" s="38"/>
      <c r="L369" s="38"/>
    </row>
    <row r="370" spans="1:13" x14ac:dyDescent="0.4">
      <c r="A370" s="37" t="str">
        <f t="shared" ref="A370:A433" si="11">TEXT(ROW()-1,"000")</f>
        <v>369</v>
      </c>
      <c r="B370" s="38" t="s">
        <v>138</v>
      </c>
      <c r="C370" s="42"/>
      <c r="D370" s="38"/>
      <c r="E370" s="38"/>
      <c r="F370" s="38"/>
      <c r="G370" s="38"/>
      <c r="H370" s="116"/>
      <c r="I370" s="38" t="s">
        <v>412</v>
      </c>
      <c r="J370" s="38" t="str">
        <f t="shared" si="10"/>
        <v>369_真南から東へ45度以上75度未満</v>
      </c>
      <c r="K370" s="38"/>
      <c r="L370" s="38"/>
    </row>
    <row r="371" spans="1:13" x14ac:dyDescent="0.4">
      <c r="A371" s="37" t="str">
        <f t="shared" si="11"/>
        <v>370</v>
      </c>
      <c r="B371" s="38" t="s">
        <v>138</v>
      </c>
      <c r="C371" s="42"/>
      <c r="D371" s="38"/>
      <c r="E371" s="38"/>
      <c r="F371" s="38"/>
      <c r="G371" s="38"/>
      <c r="H371" s="116"/>
      <c r="I371" s="38" t="s">
        <v>413</v>
      </c>
      <c r="J371" s="38" t="str">
        <f t="shared" si="10"/>
        <v>370_真南から東へ75度以上105度未満</v>
      </c>
      <c r="K371" s="38"/>
      <c r="L371" s="38"/>
    </row>
    <row r="372" spans="1:13" x14ac:dyDescent="0.4">
      <c r="A372" s="37" t="str">
        <f t="shared" si="11"/>
        <v>371</v>
      </c>
      <c r="B372" s="38" t="s">
        <v>138</v>
      </c>
      <c r="C372" s="42"/>
      <c r="D372" s="38"/>
      <c r="E372" s="38"/>
      <c r="F372" s="38"/>
      <c r="G372" s="38"/>
      <c r="H372" s="116"/>
      <c r="I372" s="38" t="s">
        <v>414</v>
      </c>
      <c r="J372" s="38" t="str">
        <f t="shared" ref="J372:J435" si="12">A372&amp;"_"&amp;I372</f>
        <v>371_真南から東へ105度以上135度未満</v>
      </c>
      <c r="K372" s="38"/>
      <c r="L372" s="38"/>
    </row>
    <row r="373" spans="1:13" x14ac:dyDescent="0.4">
      <c r="A373" s="37" t="str">
        <f t="shared" si="11"/>
        <v>372</v>
      </c>
      <c r="B373" s="38" t="s">
        <v>138</v>
      </c>
      <c r="C373" s="42"/>
      <c r="D373" s="38"/>
      <c r="E373" s="38"/>
      <c r="F373" s="38"/>
      <c r="G373" s="38"/>
      <c r="H373" s="116"/>
      <c r="I373" s="38" t="s">
        <v>415</v>
      </c>
      <c r="J373" s="38" t="str">
        <f t="shared" si="12"/>
        <v>372_真南から東へ135度以上165度未満</v>
      </c>
      <c r="K373" s="38"/>
      <c r="L373" s="38"/>
    </row>
    <row r="374" spans="1:13" x14ac:dyDescent="0.4">
      <c r="A374" s="37" t="str">
        <f t="shared" si="11"/>
        <v>373</v>
      </c>
      <c r="B374" s="38" t="s">
        <v>138</v>
      </c>
      <c r="C374" s="42"/>
      <c r="D374" s="38"/>
      <c r="E374" s="38"/>
      <c r="F374" s="38"/>
      <c r="G374" s="38"/>
      <c r="H374" s="116"/>
      <c r="I374" s="38" t="s">
        <v>416</v>
      </c>
      <c r="J374" s="38" t="str">
        <f t="shared" si="12"/>
        <v>373_真南から東および西へ165度以上真北まで</v>
      </c>
      <c r="K374" s="38"/>
      <c r="L374" s="38"/>
    </row>
    <row r="375" spans="1:13" x14ac:dyDescent="0.4">
      <c r="A375" s="37" t="str">
        <f t="shared" si="11"/>
        <v>374</v>
      </c>
      <c r="B375" s="38" t="s">
        <v>138</v>
      </c>
      <c r="C375" s="42"/>
      <c r="D375" s="38"/>
      <c r="E375" s="38"/>
      <c r="F375" s="38"/>
      <c r="G375" s="38"/>
      <c r="H375" s="116"/>
      <c r="I375" s="38" t="s">
        <v>417</v>
      </c>
      <c r="J375" s="38" t="str">
        <f t="shared" si="12"/>
        <v>374_真南から西へ135度以上165度未満</v>
      </c>
      <c r="K375" s="38"/>
      <c r="L375" s="38"/>
    </row>
    <row r="376" spans="1:13" x14ac:dyDescent="0.4">
      <c r="A376" s="37" t="str">
        <f t="shared" si="11"/>
        <v>375</v>
      </c>
      <c r="B376" s="38" t="s">
        <v>138</v>
      </c>
      <c r="C376" s="42"/>
      <c r="D376" s="38"/>
      <c r="E376" s="38"/>
      <c r="F376" s="38"/>
      <c r="G376" s="38"/>
      <c r="H376" s="116"/>
      <c r="I376" s="38" t="s">
        <v>418</v>
      </c>
      <c r="J376" s="38" t="str">
        <f t="shared" si="12"/>
        <v>375_真南から西へ105度以上135度未満</v>
      </c>
      <c r="K376" s="38"/>
      <c r="L376" s="38"/>
    </row>
    <row r="377" spans="1:13" x14ac:dyDescent="0.4">
      <c r="A377" s="37" t="str">
        <f t="shared" si="11"/>
        <v>376</v>
      </c>
      <c r="B377" s="38" t="s">
        <v>138</v>
      </c>
      <c r="C377" s="42"/>
      <c r="D377" s="38"/>
      <c r="E377" s="38"/>
      <c r="F377" s="38"/>
      <c r="G377" s="38"/>
      <c r="H377" s="116"/>
      <c r="I377" s="38" t="s">
        <v>419</v>
      </c>
      <c r="J377" s="38" t="str">
        <f t="shared" si="12"/>
        <v>376_真南から西へ75度以上105度未満</v>
      </c>
      <c r="K377" s="38"/>
      <c r="L377" s="38"/>
    </row>
    <row r="378" spans="1:13" x14ac:dyDescent="0.4">
      <c r="A378" s="37" t="str">
        <f t="shared" si="11"/>
        <v>377</v>
      </c>
      <c r="B378" s="38" t="s">
        <v>138</v>
      </c>
      <c r="C378" s="42"/>
      <c r="D378" s="38"/>
      <c r="E378" s="38"/>
      <c r="F378" s="38"/>
      <c r="G378" s="38"/>
      <c r="H378" s="116"/>
      <c r="I378" s="38" t="s">
        <v>420</v>
      </c>
      <c r="J378" s="38" t="str">
        <f t="shared" si="12"/>
        <v>377_真南から西へ45度以上75度未満</v>
      </c>
      <c r="K378" s="38"/>
      <c r="L378" s="38"/>
    </row>
    <row r="379" spans="1:13" x14ac:dyDescent="0.4">
      <c r="A379" s="37" t="str">
        <f t="shared" si="11"/>
        <v>378</v>
      </c>
      <c r="B379" s="38" t="s">
        <v>138</v>
      </c>
      <c r="C379" s="45"/>
      <c r="D379" s="40"/>
      <c r="E379" s="40"/>
      <c r="F379" s="40"/>
      <c r="G379" s="40"/>
      <c r="H379" s="115"/>
      <c r="I379" s="40" t="s">
        <v>421</v>
      </c>
      <c r="J379" s="40" t="str">
        <f t="shared" si="12"/>
        <v>378_真南から西へ15度以上45度未満</v>
      </c>
      <c r="K379" s="40"/>
      <c r="L379" s="40"/>
    </row>
    <row r="380" spans="1:13" x14ac:dyDescent="0.4">
      <c r="A380" s="37" t="str">
        <f t="shared" si="11"/>
        <v>379</v>
      </c>
      <c r="B380" s="38" t="s">
        <v>138</v>
      </c>
      <c r="C380" s="42" t="s">
        <v>1469</v>
      </c>
      <c r="D380" s="38" t="s">
        <v>440</v>
      </c>
      <c r="E380" s="38"/>
      <c r="F380" s="38"/>
      <c r="G380" s="38"/>
      <c r="H380" s="116"/>
      <c r="I380" s="38" t="s">
        <v>422</v>
      </c>
      <c r="J380" s="38" t="str">
        <f t="shared" si="12"/>
        <v>379_0度（水平）</v>
      </c>
      <c r="K380" s="38"/>
      <c r="L380" s="38"/>
      <c r="M380" s="36" t="str">
        <f>"太陽光_"&amp;D380</f>
        <v>太陽光_パネル設置傾斜角_パネル1</v>
      </c>
    </row>
    <row r="381" spans="1:13" x14ac:dyDescent="0.4">
      <c r="A381" s="37" t="str">
        <f t="shared" si="11"/>
        <v>380</v>
      </c>
      <c r="B381" s="38" t="s">
        <v>138</v>
      </c>
      <c r="C381" s="42"/>
      <c r="D381" s="38"/>
      <c r="E381" s="38"/>
      <c r="F381" s="38"/>
      <c r="G381" s="38"/>
      <c r="H381" s="116"/>
      <c r="I381" s="38" t="s">
        <v>423</v>
      </c>
      <c r="J381" s="38" t="str">
        <f t="shared" si="12"/>
        <v>380_10度</v>
      </c>
      <c r="K381" s="38"/>
      <c r="L381" s="38"/>
    </row>
    <row r="382" spans="1:13" x14ac:dyDescent="0.4">
      <c r="A382" s="37" t="str">
        <f t="shared" si="11"/>
        <v>381</v>
      </c>
      <c r="B382" s="38" t="s">
        <v>138</v>
      </c>
      <c r="C382" s="42"/>
      <c r="D382" s="38"/>
      <c r="E382" s="38"/>
      <c r="F382" s="38"/>
      <c r="G382" s="38"/>
      <c r="H382" s="116"/>
      <c r="I382" s="38" t="s">
        <v>424</v>
      </c>
      <c r="J382" s="38" t="str">
        <f t="shared" si="12"/>
        <v>381_20度</v>
      </c>
      <c r="K382" s="38"/>
      <c r="L382" s="38"/>
    </row>
    <row r="383" spans="1:13" x14ac:dyDescent="0.4">
      <c r="A383" s="37" t="str">
        <f t="shared" si="11"/>
        <v>382</v>
      </c>
      <c r="B383" s="38" t="s">
        <v>138</v>
      </c>
      <c r="C383" s="42"/>
      <c r="D383" s="38"/>
      <c r="E383" s="38"/>
      <c r="F383" s="38"/>
      <c r="G383" s="38"/>
      <c r="H383" s="116"/>
      <c r="I383" s="38" t="s">
        <v>425</v>
      </c>
      <c r="J383" s="38" t="str">
        <f t="shared" si="12"/>
        <v>382_30度</v>
      </c>
      <c r="K383" s="38"/>
      <c r="L383" s="38"/>
    </row>
    <row r="384" spans="1:13" x14ac:dyDescent="0.4">
      <c r="A384" s="37" t="str">
        <f t="shared" si="11"/>
        <v>383</v>
      </c>
      <c r="B384" s="38" t="s">
        <v>138</v>
      </c>
      <c r="C384" s="42"/>
      <c r="D384" s="38"/>
      <c r="E384" s="38"/>
      <c r="F384" s="38"/>
      <c r="G384" s="38"/>
      <c r="H384" s="116"/>
      <c r="I384" s="38" t="s">
        <v>426</v>
      </c>
      <c r="J384" s="38" t="str">
        <f t="shared" si="12"/>
        <v>383_40度</v>
      </c>
      <c r="K384" s="38"/>
      <c r="L384" s="38"/>
    </row>
    <row r="385" spans="1:13" x14ac:dyDescent="0.4">
      <c r="A385" s="37" t="str">
        <f t="shared" si="11"/>
        <v>384</v>
      </c>
      <c r="B385" s="38" t="s">
        <v>138</v>
      </c>
      <c r="C385" s="42"/>
      <c r="D385" s="38"/>
      <c r="E385" s="38"/>
      <c r="F385" s="38"/>
      <c r="G385" s="38"/>
      <c r="H385" s="116"/>
      <c r="I385" s="38" t="s">
        <v>427</v>
      </c>
      <c r="J385" s="38" t="str">
        <f t="shared" si="12"/>
        <v>384_50度</v>
      </c>
      <c r="K385" s="38"/>
      <c r="L385" s="38"/>
    </row>
    <row r="386" spans="1:13" x14ac:dyDescent="0.4">
      <c r="A386" s="37" t="str">
        <f t="shared" si="11"/>
        <v>385</v>
      </c>
      <c r="B386" s="38" t="s">
        <v>138</v>
      </c>
      <c r="C386" s="42"/>
      <c r="D386" s="38"/>
      <c r="E386" s="38"/>
      <c r="F386" s="38"/>
      <c r="G386" s="38"/>
      <c r="H386" s="116"/>
      <c r="I386" s="38" t="s">
        <v>428</v>
      </c>
      <c r="J386" s="38" t="str">
        <f t="shared" si="12"/>
        <v>385_60度</v>
      </c>
      <c r="K386" s="38"/>
      <c r="L386" s="38"/>
    </row>
    <row r="387" spans="1:13" x14ac:dyDescent="0.4">
      <c r="A387" s="37" t="str">
        <f t="shared" si="11"/>
        <v>386</v>
      </c>
      <c r="B387" s="38" t="s">
        <v>138</v>
      </c>
      <c r="C387" s="42"/>
      <c r="D387" s="38"/>
      <c r="E387" s="38"/>
      <c r="F387" s="38"/>
      <c r="G387" s="38"/>
      <c r="H387" s="116"/>
      <c r="I387" s="38" t="s">
        <v>429</v>
      </c>
      <c r="J387" s="38" t="str">
        <f t="shared" si="12"/>
        <v>386_70度</v>
      </c>
      <c r="K387" s="38"/>
      <c r="L387" s="38"/>
    </row>
    <row r="388" spans="1:13" x14ac:dyDescent="0.4">
      <c r="A388" s="37" t="str">
        <f t="shared" si="11"/>
        <v>387</v>
      </c>
      <c r="B388" s="38" t="s">
        <v>138</v>
      </c>
      <c r="C388" s="42"/>
      <c r="D388" s="38"/>
      <c r="E388" s="38"/>
      <c r="F388" s="38"/>
      <c r="G388" s="38"/>
      <c r="H388" s="116"/>
      <c r="I388" s="38" t="s">
        <v>430</v>
      </c>
      <c r="J388" s="38" t="str">
        <f t="shared" si="12"/>
        <v>387_80度</v>
      </c>
      <c r="K388" s="38"/>
      <c r="L388" s="38"/>
    </row>
    <row r="389" spans="1:13" x14ac:dyDescent="0.4">
      <c r="A389" s="37" t="str">
        <f t="shared" si="11"/>
        <v>388</v>
      </c>
      <c r="B389" s="40" t="s">
        <v>138</v>
      </c>
      <c r="C389" s="45"/>
      <c r="D389" s="40"/>
      <c r="E389" s="40"/>
      <c r="F389" s="40"/>
      <c r="G389" s="40"/>
      <c r="H389" s="115"/>
      <c r="I389" s="40" t="s">
        <v>431</v>
      </c>
      <c r="J389" s="40" t="str">
        <f t="shared" si="12"/>
        <v>388_90度（鉛直）</v>
      </c>
      <c r="K389" s="40"/>
      <c r="L389" s="40"/>
    </row>
    <row r="390" spans="1:13" x14ac:dyDescent="0.4">
      <c r="A390" s="37" t="str">
        <f t="shared" si="11"/>
        <v>389</v>
      </c>
      <c r="B390" s="38" t="s">
        <v>138</v>
      </c>
      <c r="C390" s="45" t="s">
        <v>1470</v>
      </c>
      <c r="D390" s="40" t="s">
        <v>442</v>
      </c>
      <c r="E390" s="40"/>
      <c r="F390" s="40"/>
      <c r="G390" s="40"/>
      <c r="H390" s="115"/>
      <c r="I390" s="40">
        <v>99</v>
      </c>
      <c r="J390" s="40" t="str">
        <f t="shared" si="12"/>
        <v>389_99</v>
      </c>
      <c r="K390" s="40"/>
      <c r="L390" s="40"/>
      <c r="M390" s="36" t="str">
        <f>"太陽光_"&amp;D390</f>
        <v>太陽光_太陽電池アレイのシステム容量_パネル2</v>
      </c>
    </row>
    <row r="391" spans="1:13" x14ac:dyDescent="0.4">
      <c r="A391" s="37" t="str">
        <f t="shared" si="11"/>
        <v>390</v>
      </c>
      <c r="B391" s="38" t="s">
        <v>138</v>
      </c>
      <c r="C391" s="42" t="s">
        <v>1471</v>
      </c>
      <c r="D391" s="38" t="s">
        <v>443</v>
      </c>
      <c r="E391" s="38"/>
      <c r="F391" s="38"/>
      <c r="G391" s="38"/>
      <c r="H391" s="116"/>
      <c r="I391" s="38" t="s">
        <v>405</v>
      </c>
      <c r="J391" s="38" t="str">
        <f t="shared" si="12"/>
        <v>390_結晶シリコン系太陽電池</v>
      </c>
      <c r="K391" s="38"/>
      <c r="L391" s="38"/>
      <c r="M391" s="36" t="str">
        <f>"太陽光_"&amp;D391</f>
        <v>太陽光_太陽電池アレイの種類_パネル2</v>
      </c>
    </row>
    <row r="392" spans="1:13" x14ac:dyDescent="0.4">
      <c r="A392" s="37" t="str">
        <f t="shared" si="11"/>
        <v>391</v>
      </c>
      <c r="B392" s="38" t="s">
        <v>138</v>
      </c>
      <c r="C392" s="45"/>
      <c r="D392" s="40"/>
      <c r="E392" s="40"/>
      <c r="F392" s="40"/>
      <c r="G392" s="40"/>
      <c r="H392" s="115"/>
      <c r="I392" s="40" t="s">
        <v>406</v>
      </c>
      <c r="J392" s="40" t="str">
        <f t="shared" si="12"/>
        <v>391_結晶シリコン系以外の太陽電池</v>
      </c>
      <c r="K392" s="40"/>
      <c r="L392" s="40"/>
    </row>
    <row r="393" spans="1:13" x14ac:dyDescent="0.4">
      <c r="A393" s="37" t="str">
        <f t="shared" si="11"/>
        <v>392</v>
      </c>
      <c r="B393" s="38" t="s">
        <v>138</v>
      </c>
      <c r="C393" s="42" t="s">
        <v>1472</v>
      </c>
      <c r="D393" s="38" t="s">
        <v>444</v>
      </c>
      <c r="E393" s="38"/>
      <c r="F393" s="38"/>
      <c r="G393" s="38"/>
      <c r="H393" s="116"/>
      <c r="I393" s="38" t="s">
        <v>407</v>
      </c>
      <c r="J393" s="38" t="str">
        <f t="shared" si="12"/>
        <v>392_架台設置形</v>
      </c>
      <c r="K393" s="38"/>
      <c r="L393" s="38"/>
      <c r="M393" s="36" t="str">
        <f>"太陽光_"&amp;D393</f>
        <v>太陽光_太陽電池アレイ設置方式_パネル2</v>
      </c>
    </row>
    <row r="394" spans="1:13" x14ac:dyDescent="0.4">
      <c r="A394" s="37" t="str">
        <f t="shared" si="11"/>
        <v>393</v>
      </c>
      <c r="B394" s="38" t="s">
        <v>138</v>
      </c>
      <c r="C394" s="42"/>
      <c r="D394" s="38"/>
      <c r="E394" s="38"/>
      <c r="F394" s="38"/>
      <c r="G394" s="38"/>
      <c r="H394" s="116"/>
      <c r="I394" s="38" t="s">
        <v>408</v>
      </c>
      <c r="J394" s="38" t="str">
        <f t="shared" si="12"/>
        <v>393_屋根置き形</v>
      </c>
      <c r="K394" s="38"/>
      <c r="L394" s="38"/>
    </row>
    <row r="395" spans="1:13" x14ac:dyDescent="0.4">
      <c r="A395" s="37" t="str">
        <f t="shared" si="11"/>
        <v>394</v>
      </c>
      <c r="B395" s="38" t="s">
        <v>138</v>
      </c>
      <c r="C395" s="45"/>
      <c r="D395" s="40"/>
      <c r="E395" s="40"/>
      <c r="F395" s="40"/>
      <c r="G395" s="40"/>
      <c r="H395" s="115"/>
      <c r="I395" s="40" t="s">
        <v>409</v>
      </c>
      <c r="J395" s="40" t="str">
        <f t="shared" si="12"/>
        <v>394_その他</v>
      </c>
      <c r="K395" s="40"/>
      <c r="L395" s="40"/>
    </row>
    <row r="396" spans="1:13" x14ac:dyDescent="0.4">
      <c r="A396" s="37" t="str">
        <f t="shared" si="11"/>
        <v>395</v>
      </c>
      <c r="B396" s="38" t="s">
        <v>138</v>
      </c>
      <c r="C396" s="42" t="s">
        <v>1473</v>
      </c>
      <c r="D396" s="38" t="s">
        <v>445</v>
      </c>
      <c r="E396" s="38"/>
      <c r="F396" s="38"/>
      <c r="G396" s="38"/>
      <c r="H396" s="116"/>
      <c r="I396" s="38" t="s">
        <v>410</v>
      </c>
      <c r="J396" s="38" t="str">
        <f t="shared" si="12"/>
        <v>395_真南から東および西へ15度未満</v>
      </c>
      <c r="K396" s="38"/>
      <c r="L396" s="38"/>
      <c r="M396" s="36" t="str">
        <f>"太陽光_"&amp;D396</f>
        <v>太陽光_パネルの設置方位角_パネル2</v>
      </c>
    </row>
    <row r="397" spans="1:13" x14ac:dyDescent="0.4">
      <c r="A397" s="37" t="str">
        <f t="shared" si="11"/>
        <v>396</v>
      </c>
      <c r="B397" s="38" t="s">
        <v>138</v>
      </c>
      <c r="C397" s="42"/>
      <c r="D397" s="38"/>
      <c r="E397" s="38"/>
      <c r="F397" s="38"/>
      <c r="G397" s="38"/>
      <c r="H397" s="116"/>
      <c r="I397" s="38" t="s">
        <v>411</v>
      </c>
      <c r="J397" s="38" t="str">
        <f t="shared" si="12"/>
        <v>396_真南から東へ15度以上45度未満</v>
      </c>
      <c r="K397" s="38"/>
      <c r="L397" s="38"/>
    </row>
    <row r="398" spans="1:13" x14ac:dyDescent="0.4">
      <c r="A398" s="37" t="str">
        <f t="shared" si="11"/>
        <v>397</v>
      </c>
      <c r="B398" s="38" t="s">
        <v>138</v>
      </c>
      <c r="C398" s="42"/>
      <c r="D398" s="38"/>
      <c r="E398" s="38"/>
      <c r="F398" s="38"/>
      <c r="G398" s="38"/>
      <c r="H398" s="116"/>
      <c r="I398" s="38" t="s">
        <v>412</v>
      </c>
      <c r="J398" s="38" t="str">
        <f t="shared" si="12"/>
        <v>397_真南から東へ45度以上75度未満</v>
      </c>
      <c r="K398" s="38"/>
      <c r="L398" s="38"/>
    </row>
    <row r="399" spans="1:13" x14ac:dyDescent="0.4">
      <c r="A399" s="37" t="str">
        <f t="shared" si="11"/>
        <v>398</v>
      </c>
      <c r="B399" s="38" t="s">
        <v>138</v>
      </c>
      <c r="C399" s="42"/>
      <c r="D399" s="38"/>
      <c r="E399" s="38"/>
      <c r="F399" s="38"/>
      <c r="G399" s="38"/>
      <c r="H399" s="116"/>
      <c r="I399" s="38" t="s">
        <v>413</v>
      </c>
      <c r="J399" s="38" t="str">
        <f t="shared" si="12"/>
        <v>398_真南から東へ75度以上105度未満</v>
      </c>
      <c r="K399" s="38"/>
      <c r="L399" s="38"/>
    </row>
    <row r="400" spans="1:13" x14ac:dyDescent="0.4">
      <c r="A400" s="37" t="str">
        <f t="shared" si="11"/>
        <v>399</v>
      </c>
      <c r="B400" s="38" t="s">
        <v>138</v>
      </c>
      <c r="C400" s="42"/>
      <c r="D400" s="38"/>
      <c r="E400" s="38"/>
      <c r="F400" s="38"/>
      <c r="G400" s="38"/>
      <c r="H400" s="116"/>
      <c r="I400" s="38" t="s">
        <v>414</v>
      </c>
      <c r="J400" s="38" t="str">
        <f t="shared" si="12"/>
        <v>399_真南から東へ105度以上135度未満</v>
      </c>
      <c r="K400" s="38"/>
      <c r="L400" s="38"/>
    </row>
    <row r="401" spans="1:13" x14ac:dyDescent="0.4">
      <c r="A401" s="37" t="str">
        <f t="shared" si="11"/>
        <v>400</v>
      </c>
      <c r="B401" s="38" t="s">
        <v>138</v>
      </c>
      <c r="C401" s="42"/>
      <c r="D401" s="38"/>
      <c r="E401" s="38"/>
      <c r="F401" s="38"/>
      <c r="G401" s="38"/>
      <c r="H401" s="116"/>
      <c r="I401" s="38" t="s">
        <v>415</v>
      </c>
      <c r="J401" s="38" t="str">
        <f t="shared" si="12"/>
        <v>400_真南から東へ135度以上165度未満</v>
      </c>
      <c r="K401" s="38"/>
      <c r="L401" s="38"/>
    </row>
    <row r="402" spans="1:13" x14ac:dyDescent="0.4">
      <c r="A402" s="37" t="str">
        <f t="shared" si="11"/>
        <v>401</v>
      </c>
      <c r="B402" s="38" t="s">
        <v>138</v>
      </c>
      <c r="C402" s="42"/>
      <c r="D402" s="38"/>
      <c r="E402" s="38"/>
      <c r="F402" s="38"/>
      <c r="G402" s="38"/>
      <c r="H402" s="116"/>
      <c r="I402" s="38" t="s">
        <v>416</v>
      </c>
      <c r="J402" s="38" t="str">
        <f t="shared" si="12"/>
        <v>401_真南から東および西へ165度以上真北まで</v>
      </c>
      <c r="K402" s="38"/>
      <c r="L402" s="38"/>
    </row>
    <row r="403" spans="1:13" x14ac:dyDescent="0.4">
      <c r="A403" s="37" t="str">
        <f t="shared" si="11"/>
        <v>402</v>
      </c>
      <c r="B403" s="38" t="s">
        <v>138</v>
      </c>
      <c r="C403" s="42"/>
      <c r="D403" s="38"/>
      <c r="E403" s="38"/>
      <c r="F403" s="38"/>
      <c r="G403" s="38"/>
      <c r="H403" s="116"/>
      <c r="I403" s="38" t="s">
        <v>417</v>
      </c>
      <c r="J403" s="38" t="str">
        <f t="shared" si="12"/>
        <v>402_真南から西へ135度以上165度未満</v>
      </c>
      <c r="K403" s="38"/>
      <c r="L403" s="38"/>
    </row>
    <row r="404" spans="1:13" x14ac:dyDescent="0.4">
      <c r="A404" s="37" t="str">
        <f t="shared" si="11"/>
        <v>403</v>
      </c>
      <c r="B404" s="38" t="s">
        <v>138</v>
      </c>
      <c r="C404" s="42"/>
      <c r="D404" s="38"/>
      <c r="E404" s="38"/>
      <c r="F404" s="38"/>
      <c r="G404" s="38"/>
      <c r="H404" s="116"/>
      <c r="I404" s="38" t="s">
        <v>418</v>
      </c>
      <c r="J404" s="38" t="str">
        <f t="shared" si="12"/>
        <v>403_真南から西へ105度以上135度未満</v>
      </c>
      <c r="K404" s="38"/>
      <c r="L404" s="38"/>
    </row>
    <row r="405" spans="1:13" x14ac:dyDescent="0.4">
      <c r="A405" s="37" t="str">
        <f t="shared" si="11"/>
        <v>404</v>
      </c>
      <c r="B405" s="38" t="s">
        <v>138</v>
      </c>
      <c r="C405" s="42"/>
      <c r="D405" s="38"/>
      <c r="E405" s="38"/>
      <c r="F405" s="38"/>
      <c r="G405" s="38"/>
      <c r="H405" s="116"/>
      <c r="I405" s="38" t="s">
        <v>419</v>
      </c>
      <c r="J405" s="38" t="str">
        <f t="shared" si="12"/>
        <v>404_真南から西へ75度以上105度未満</v>
      </c>
      <c r="K405" s="38"/>
      <c r="L405" s="38"/>
    </row>
    <row r="406" spans="1:13" x14ac:dyDescent="0.4">
      <c r="A406" s="37" t="str">
        <f t="shared" si="11"/>
        <v>405</v>
      </c>
      <c r="B406" s="38" t="s">
        <v>138</v>
      </c>
      <c r="C406" s="42"/>
      <c r="D406" s="38"/>
      <c r="E406" s="38"/>
      <c r="F406" s="38"/>
      <c r="G406" s="38"/>
      <c r="H406" s="116"/>
      <c r="I406" s="38" t="s">
        <v>420</v>
      </c>
      <c r="J406" s="38" t="str">
        <f t="shared" si="12"/>
        <v>405_真南から西へ45度以上75度未満</v>
      </c>
      <c r="K406" s="38"/>
      <c r="L406" s="38"/>
    </row>
    <row r="407" spans="1:13" x14ac:dyDescent="0.4">
      <c r="A407" s="37" t="str">
        <f t="shared" si="11"/>
        <v>406</v>
      </c>
      <c r="B407" s="38" t="s">
        <v>138</v>
      </c>
      <c r="C407" s="45"/>
      <c r="D407" s="40"/>
      <c r="E407" s="40"/>
      <c r="F407" s="40"/>
      <c r="G407" s="40"/>
      <c r="H407" s="115"/>
      <c r="I407" s="40" t="s">
        <v>421</v>
      </c>
      <c r="J407" s="40" t="str">
        <f t="shared" si="12"/>
        <v>406_真南から西へ15度以上45度未満</v>
      </c>
      <c r="K407" s="40"/>
      <c r="L407" s="40"/>
    </row>
    <row r="408" spans="1:13" x14ac:dyDescent="0.4">
      <c r="A408" s="37" t="str">
        <f t="shared" si="11"/>
        <v>407</v>
      </c>
      <c r="B408" s="38" t="s">
        <v>138</v>
      </c>
      <c r="C408" s="42" t="s">
        <v>1474</v>
      </c>
      <c r="D408" s="38" t="s">
        <v>446</v>
      </c>
      <c r="E408" s="38"/>
      <c r="F408" s="38"/>
      <c r="G408" s="38"/>
      <c r="H408" s="116"/>
      <c r="I408" s="38" t="s">
        <v>422</v>
      </c>
      <c r="J408" s="38" t="str">
        <f t="shared" si="12"/>
        <v>407_0度（水平）</v>
      </c>
      <c r="K408" s="38"/>
      <c r="L408" s="38"/>
      <c r="M408" s="36" t="str">
        <f>"太陽光_"&amp;D408</f>
        <v>太陽光_パネル設置傾斜角_パネル2</v>
      </c>
    </row>
    <row r="409" spans="1:13" x14ac:dyDescent="0.4">
      <c r="A409" s="37" t="str">
        <f t="shared" si="11"/>
        <v>408</v>
      </c>
      <c r="B409" s="38" t="s">
        <v>138</v>
      </c>
      <c r="C409" s="42"/>
      <c r="D409" s="38"/>
      <c r="E409" s="38"/>
      <c r="F409" s="38"/>
      <c r="G409" s="38"/>
      <c r="H409" s="116"/>
      <c r="I409" s="38" t="s">
        <v>423</v>
      </c>
      <c r="J409" s="38" t="str">
        <f t="shared" si="12"/>
        <v>408_10度</v>
      </c>
      <c r="K409" s="38"/>
      <c r="L409" s="38"/>
    </row>
    <row r="410" spans="1:13" x14ac:dyDescent="0.4">
      <c r="A410" s="37" t="str">
        <f t="shared" si="11"/>
        <v>409</v>
      </c>
      <c r="B410" s="38" t="s">
        <v>138</v>
      </c>
      <c r="C410" s="42"/>
      <c r="D410" s="38"/>
      <c r="E410" s="38"/>
      <c r="F410" s="38"/>
      <c r="G410" s="38"/>
      <c r="H410" s="116"/>
      <c r="I410" s="38" t="s">
        <v>424</v>
      </c>
      <c r="J410" s="38" t="str">
        <f t="shared" si="12"/>
        <v>409_20度</v>
      </c>
      <c r="K410" s="38"/>
      <c r="L410" s="38"/>
    </row>
    <row r="411" spans="1:13" x14ac:dyDescent="0.4">
      <c r="A411" s="37" t="str">
        <f t="shared" si="11"/>
        <v>410</v>
      </c>
      <c r="B411" s="38" t="s">
        <v>138</v>
      </c>
      <c r="C411" s="42"/>
      <c r="D411" s="38"/>
      <c r="E411" s="38"/>
      <c r="F411" s="38"/>
      <c r="G411" s="38"/>
      <c r="H411" s="116"/>
      <c r="I411" s="38" t="s">
        <v>425</v>
      </c>
      <c r="J411" s="38" t="str">
        <f t="shared" si="12"/>
        <v>410_30度</v>
      </c>
      <c r="K411" s="38"/>
      <c r="L411" s="38"/>
    </row>
    <row r="412" spans="1:13" x14ac:dyDescent="0.4">
      <c r="A412" s="37" t="str">
        <f t="shared" si="11"/>
        <v>411</v>
      </c>
      <c r="B412" s="38" t="s">
        <v>138</v>
      </c>
      <c r="C412" s="42"/>
      <c r="D412" s="38"/>
      <c r="E412" s="38"/>
      <c r="F412" s="38"/>
      <c r="G412" s="38"/>
      <c r="H412" s="116"/>
      <c r="I412" s="38" t="s">
        <v>426</v>
      </c>
      <c r="J412" s="38" t="str">
        <f t="shared" si="12"/>
        <v>411_40度</v>
      </c>
      <c r="K412" s="38"/>
      <c r="L412" s="38"/>
    </row>
    <row r="413" spans="1:13" x14ac:dyDescent="0.4">
      <c r="A413" s="37" t="str">
        <f t="shared" si="11"/>
        <v>412</v>
      </c>
      <c r="B413" s="38" t="s">
        <v>138</v>
      </c>
      <c r="C413" s="42"/>
      <c r="D413" s="38"/>
      <c r="E413" s="38"/>
      <c r="F413" s="38"/>
      <c r="G413" s="38"/>
      <c r="H413" s="116"/>
      <c r="I413" s="38" t="s">
        <v>427</v>
      </c>
      <c r="J413" s="38" t="str">
        <f t="shared" si="12"/>
        <v>412_50度</v>
      </c>
      <c r="K413" s="38"/>
      <c r="L413" s="38"/>
    </row>
    <row r="414" spans="1:13" x14ac:dyDescent="0.4">
      <c r="A414" s="37" t="str">
        <f t="shared" si="11"/>
        <v>413</v>
      </c>
      <c r="B414" s="38" t="s">
        <v>138</v>
      </c>
      <c r="C414" s="42"/>
      <c r="D414" s="38"/>
      <c r="E414" s="38"/>
      <c r="F414" s="38"/>
      <c r="G414" s="38"/>
      <c r="H414" s="116"/>
      <c r="I414" s="38" t="s">
        <v>428</v>
      </c>
      <c r="J414" s="38" t="str">
        <f t="shared" si="12"/>
        <v>413_60度</v>
      </c>
      <c r="K414" s="38"/>
      <c r="L414" s="38"/>
    </row>
    <row r="415" spans="1:13" x14ac:dyDescent="0.4">
      <c r="A415" s="37" t="str">
        <f t="shared" si="11"/>
        <v>414</v>
      </c>
      <c r="B415" s="38" t="s">
        <v>138</v>
      </c>
      <c r="C415" s="42"/>
      <c r="D415" s="38"/>
      <c r="E415" s="38"/>
      <c r="F415" s="38"/>
      <c r="G415" s="38"/>
      <c r="H415" s="116"/>
      <c r="I415" s="38" t="s">
        <v>429</v>
      </c>
      <c r="J415" s="38" t="str">
        <f t="shared" si="12"/>
        <v>414_70度</v>
      </c>
      <c r="K415" s="38"/>
      <c r="L415" s="38"/>
    </row>
    <row r="416" spans="1:13" x14ac:dyDescent="0.4">
      <c r="A416" s="37" t="str">
        <f t="shared" si="11"/>
        <v>415</v>
      </c>
      <c r="B416" s="38" t="s">
        <v>138</v>
      </c>
      <c r="C416" s="42"/>
      <c r="D416" s="38"/>
      <c r="E416" s="38"/>
      <c r="F416" s="38"/>
      <c r="G416" s="38"/>
      <c r="H416" s="116"/>
      <c r="I416" s="38" t="s">
        <v>430</v>
      </c>
      <c r="J416" s="38" t="str">
        <f t="shared" si="12"/>
        <v>415_80度</v>
      </c>
      <c r="K416" s="38"/>
      <c r="L416" s="38"/>
    </row>
    <row r="417" spans="1:13" x14ac:dyDescent="0.4">
      <c r="A417" s="37" t="str">
        <f t="shared" si="11"/>
        <v>416</v>
      </c>
      <c r="B417" s="40" t="s">
        <v>138</v>
      </c>
      <c r="C417" s="45"/>
      <c r="D417" s="40"/>
      <c r="E417" s="40"/>
      <c r="F417" s="40"/>
      <c r="G417" s="40"/>
      <c r="H417" s="115"/>
      <c r="I417" s="40" t="s">
        <v>431</v>
      </c>
      <c r="J417" s="40" t="str">
        <f t="shared" si="12"/>
        <v>416_90度（鉛直）</v>
      </c>
      <c r="K417" s="40"/>
      <c r="L417" s="40"/>
    </row>
    <row r="418" spans="1:13" x14ac:dyDescent="0.4">
      <c r="A418" s="37" t="str">
        <f t="shared" si="11"/>
        <v>417</v>
      </c>
      <c r="B418" s="38" t="s">
        <v>138</v>
      </c>
      <c r="C418" s="45" t="s">
        <v>1475</v>
      </c>
      <c r="D418" s="40" t="s">
        <v>447</v>
      </c>
      <c r="E418" s="40"/>
      <c r="F418" s="40"/>
      <c r="G418" s="40"/>
      <c r="H418" s="115"/>
      <c r="I418" s="40">
        <v>99</v>
      </c>
      <c r="J418" s="40" t="str">
        <f t="shared" si="12"/>
        <v>417_99</v>
      </c>
      <c r="K418" s="40"/>
      <c r="L418" s="40"/>
      <c r="M418" s="36" t="str">
        <f>"太陽光_"&amp;D418</f>
        <v>太陽光_太陽電池アレイのシステム容量_パネル3</v>
      </c>
    </row>
    <row r="419" spans="1:13" x14ac:dyDescent="0.4">
      <c r="A419" s="37" t="str">
        <f t="shared" si="11"/>
        <v>418</v>
      </c>
      <c r="B419" s="38" t="s">
        <v>138</v>
      </c>
      <c r="C419" s="42" t="s">
        <v>1476</v>
      </c>
      <c r="D419" s="38" t="s">
        <v>448</v>
      </c>
      <c r="E419" s="38"/>
      <c r="F419" s="38"/>
      <c r="G419" s="38"/>
      <c r="H419" s="116"/>
      <c r="I419" s="38" t="s">
        <v>405</v>
      </c>
      <c r="J419" s="38" t="str">
        <f t="shared" si="12"/>
        <v>418_結晶シリコン系太陽電池</v>
      </c>
      <c r="K419" s="38"/>
      <c r="L419" s="38"/>
      <c r="M419" s="36" t="str">
        <f>"太陽光_"&amp;D419</f>
        <v>太陽光_太陽電池アレイの種類_パネル3</v>
      </c>
    </row>
    <row r="420" spans="1:13" x14ac:dyDescent="0.4">
      <c r="A420" s="37" t="str">
        <f t="shared" si="11"/>
        <v>419</v>
      </c>
      <c r="B420" s="38" t="s">
        <v>138</v>
      </c>
      <c r="C420" s="45"/>
      <c r="D420" s="40"/>
      <c r="E420" s="40"/>
      <c r="F420" s="40"/>
      <c r="G420" s="40"/>
      <c r="H420" s="115"/>
      <c r="I420" s="40" t="s">
        <v>406</v>
      </c>
      <c r="J420" s="40" t="str">
        <f t="shared" si="12"/>
        <v>419_結晶シリコン系以外の太陽電池</v>
      </c>
      <c r="K420" s="40"/>
      <c r="L420" s="40"/>
    </row>
    <row r="421" spans="1:13" x14ac:dyDescent="0.4">
      <c r="A421" s="37" t="str">
        <f t="shared" si="11"/>
        <v>420</v>
      </c>
      <c r="B421" s="38" t="s">
        <v>138</v>
      </c>
      <c r="C421" s="42" t="s">
        <v>1477</v>
      </c>
      <c r="D421" s="38" t="s">
        <v>449</v>
      </c>
      <c r="E421" s="38"/>
      <c r="F421" s="38"/>
      <c r="G421" s="38"/>
      <c r="H421" s="116"/>
      <c r="I421" s="38" t="s">
        <v>407</v>
      </c>
      <c r="J421" s="38" t="str">
        <f t="shared" si="12"/>
        <v>420_架台設置形</v>
      </c>
      <c r="K421" s="38"/>
      <c r="L421" s="38"/>
      <c r="M421" s="36" t="str">
        <f>"太陽光_"&amp;D421</f>
        <v>太陽光_太陽電池アレイ設置方式_パネル3</v>
      </c>
    </row>
    <row r="422" spans="1:13" x14ac:dyDescent="0.4">
      <c r="A422" s="37" t="str">
        <f t="shared" si="11"/>
        <v>421</v>
      </c>
      <c r="B422" s="38" t="s">
        <v>138</v>
      </c>
      <c r="C422" s="42"/>
      <c r="D422" s="38"/>
      <c r="E422" s="38"/>
      <c r="F422" s="38"/>
      <c r="G422" s="38"/>
      <c r="H422" s="116"/>
      <c r="I422" s="38" t="s">
        <v>408</v>
      </c>
      <c r="J422" s="38" t="str">
        <f t="shared" si="12"/>
        <v>421_屋根置き形</v>
      </c>
      <c r="K422" s="38"/>
      <c r="L422" s="38"/>
    </row>
    <row r="423" spans="1:13" x14ac:dyDescent="0.4">
      <c r="A423" s="37" t="str">
        <f t="shared" si="11"/>
        <v>422</v>
      </c>
      <c r="B423" s="38" t="s">
        <v>138</v>
      </c>
      <c r="C423" s="45"/>
      <c r="D423" s="40"/>
      <c r="E423" s="40"/>
      <c r="F423" s="40"/>
      <c r="G423" s="40"/>
      <c r="H423" s="115"/>
      <c r="I423" s="40" t="s">
        <v>409</v>
      </c>
      <c r="J423" s="40" t="str">
        <f t="shared" si="12"/>
        <v>422_その他</v>
      </c>
      <c r="K423" s="40"/>
      <c r="L423" s="40"/>
    </row>
    <row r="424" spans="1:13" x14ac:dyDescent="0.4">
      <c r="A424" s="37" t="str">
        <f t="shared" si="11"/>
        <v>423</v>
      </c>
      <c r="B424" s="38" t="s">
        <v>138</v>
      </c>
      <c r="C424" s="42" t="s">
        <v>1478</v>
      </c>
      <c r="D424" s="38" t="s">
        <v>450</v>
      </c>
      <c r="E424" s="38"/>
      <c r="F424" s="38"/>
      <c r="G424" s="38"/>
      <c r="H424" s="116"/>
      <c r="I424" s="38" t="s">
        <v>410</v>
      </c>
      <c r="J424" s="38" t="str">
        <f t="shared" si="12"/>
        <v>423_真南から東および西へ15度未満</v>
      </c>
      <c r="K424" s="38"/>
      <c r="L424" s="38"/>
      <c r="M424" s="36" t="str">
        <f>"太陽光_"&amp;D424</f>
        <v>太陽光_パネルの設置方位角_パネル3</v>
      </c>
    </row>
    <row r="425" spans="1:13" x14ac:dyDescent="0.4">
      <c r="A425" s="37" t="str">
        <f t="shared" si="11"/>
        <v>424</v>
      </c>
      <c r="B425" s="38" t="s">
        <v>138</v>
      </c>
      <c r="C425" s="42"/>
      <c r="D425" s="38"/>
      <c r="E425" s="38"/>
      <c r="F425" s="38"/>
      <c r="G425" s="38"/>
      <c r="H425" s="116"/>
      <c r="I425" s="38" t="s">
        <v>411</v>
      </c>
      <c r="J425" s="38" t="str">
        <f t="shared" si="12"/>
        <v>424_真南から東へ15度以上45度未満</v>
      </c>
      <c r="K425" s="38"/>
      <c r="L425" s="38"/>
    </row>
    <row r="426" spans="1:13" x14ac:dyDescent="0.4">
      <c r="A426" s="37" t="str">
        <f t="shared" si="11"/>
        <v>425</v>
      </c>
      <c r="B426" s="38" t="s">
        <v>138</v>
      </c>
      <c r="C426" s="42"/>
      <c r="D426" s="38"/>
      <c r="E426" s="38"/>
      <c r="F426" s="38"/>
      <c r="G426" s="38"/>
      <c r="H426" s="116"/>
      <c r="I426" s="38" t="s">
        <v>412</v>
      </c>
      <c r="J426" s="38" t="str">
        <f t="shared" si="12"/>
        <v>425_真南から東へ45度以上75度未満</v>
      </c>
      <c r="K426" s="38"/>
      <c r="L426" s="38"/>
    </row>
    <row r="427" spans="1:13" x14ac:dyDescent="0.4">
      <c r="A427" s="37" t="str">
        <f t="shared" si="11"/>
        <v>426</v>
      </c>
      <c r="B427" s="38" t="s">
        <v>138</v>
      </c>
      <c r="C427" s="42"/>
      <c r="D427" s="38"/>
      <c r="E427" s="38"/>
      <c r="F427" s="38"/>
      <c r="G427" s="38"/>
      <c r="H427" s="116"/>
      <c r="I427" s="38" t="s">
        <v>413</v>
      </c>
      <c r="J427" s="38" t="str">
        <f t="shared" si="12"/>
        <v>426_真南から東へ75度以上105度未満</v>
      </c>
      <c r="K427" s="38"/>
      <c r="L427" s="38"/>
    </row>
    <row r="428" spans="1:13" x14ac:dyDescent="0.4">
      <c r="A428" s="37" t="str">
        <f t="shared" si="11"/>
        <v>427</v>
      </c>
      <c r="B428" s="38" t="s">
        <v>138</v>
      </c>
      <c r="C428" s="42"/>
      <c r="D428" s="38"/>
      <c r="E428" s="38"/>
      <c r="F428" s="38"/>
      <c r="G428" s="38"/>
      <c r="H428" s="116"/>
      <c r="I428" s="38" t="s">
        <v>414</v>
      </c>
      <c r="J428" s="38" t="str">
        <f t="shared" si="12"/>
        <v>427_真南から東へ105度以上135度未満</v>
      </c>
      <c r="K428" s="38"/>
      <c r="L428" s="38"/>
    </row>
    <row r="429" spans="1:13" x14ac:dyDescent="0.4">
      <c r="A429" s="37" t="str">
        <f t="shared" si="11"/>
        <v>428</v>
      </c>
      <c r="B429" s="38" t="s">
        <v>138</v>
      </c>
      <c r="C429" s="42"/>
      <c r="D429" s="38"/>
      <c r="E429" s="38"/>
      <c r="F429" s="38"/>
      <c r="G429" s="38"/>
      <c r="H429" s="116"/>
      <c r="I429" s="38" t="s">
        <v>415</v>
      </c>
      <c r="J429" s="38" t="str">
        <f t="shared" si="12"/>
        <v>428_真南から東へ135度以上165度未満</v>
      </c>
      <c r="K429" s="38"/>
      <c r="L429" s="38"/>
    </row>
    <row r="430" spans="1:13" x14ac:dyDescent="0.4">
      <c r="A430" s="37" t="str">
        <f t="shared" si="11"/>
        <v>429</v>
      </c>
      <c r="B430" s="38" t="s">
        <v>138</v>
      </c>
      <c r="C430" s="42"/>
      <c r="D430" s="38"/>
      <c r="E430" s="38"/>
      <c r="F430" s="38"/>
      <c r="G430" s="38"/>
      <c r="H430" s="116"/>
      <c r="I430" s="38" t="s">
        <v>416</v>
      </c>
      <c r="J430" s="38" t="str">
        <f t="shared" si="12"/>
        <v>429_真南から東および西へ165度以上真北まで</v>
      </c>
      <c r="K430" s="38"/>
      <c r="L430" s="38"/>
    </row>
    <row r="431" spans="1:13" x14ac:dyDescent="0.4">
      <c r="A431" s="37" t="str">
        <f t="shared" si="11"/>
        <v>430</v>
      </c>
      <c r="B431" s="38" t="s">
        <v>138</v>
      </c>
      <c r="C431" s="42"/>
      <c r="D431" s="38"/>
      <c r="E431" s="38"/>
      <c r="F431" s="38"/>
      <c r="G431" s="38"/>
      <c r="H431" s="116"/>
      <c r="I431" s="38" t="s">
        <v>417</v>
      </c>
      <c r="J431" s="38" t="str">
        <f t="shared" si="12"/>
        <v>430_真南から西へ135度以上165度未満</v>
      </c>
      <c r="K431" s="38"/>
      <c r="L431" s="38"/>
    </row>
    <row r="432" spans="1:13" x14ac:dyDescent="0.4">
      <c r="A432" s="37" t="str">
        <f t="shared" si="11"/>
        <v>431</v>
      </c>
      <c r="B432" s="38" t="s">
        <v>138</v>
      </c>
      <c r="C432" s="42"/>
      <c r="D432" s="38"/>
      <c r="E432" s="38"/>
      <c r="F432" s="38"/>
      <c r="G432" s="38"/>
      <c r="H432" s="116"/>
      <c r="I432" s="38" t="s">
        <v>418</v>
      </c>
      <c r="J432" s="38" t="str">
        <f t="shared" si="12"/>
        <v>431_真南から西へ105度以上135度未満</v>
      </c>
      <c r="K432" s="38"/>
      <c r="L432" s="38"/>
    </row>
    <row r="433" spans="1:13" x14ac:dyDescent="0.4">
      <c r="A433" s="37" t="str">
        <f t="shared" si="11"/>
        <v>432</v>
      </c>
      <c r="B433" s="38" t="s">
        <v>138</v>
      </c>
      <c r="C433" s="42"/>
      <c r="D433" s="38"/>
      <c r="E433" s="38"/>
      <c r="F433" s="38"/>
      <c r="G433" s="38"/>
      <c r="H433" s="116"/>
      <c r="I433" s="38" t="s">
        <v>419</v>
      </c>
      <c r="J433" s="38" t="str">
        <f t="shared" si="12"/>
        <v>432_真南から西へ75度以上105度未満</v>
      </c>
      <c r="K433" s="38"/>
      <c r="L433" s="38"/>
    </row>
    <row r="434" spans="1:13" x14ac:dyDescent="0.4">
      <c r="A434" s="37" t="str">
        <f t="shared" ref="A434:A497" si="13">TEXT(ROW()-1,"000")</f>
        <v>433</v>
      </c>
      <c r="B434" s="38" t="s">
        <v>138</v>
      </c>
      <c r="C434" s="42"/>
      <c r="D434" s="38"/>
      <c r="E434" s="38"/>
      <c r="F434" s="38"/>
      <c r="G434" s="38"/>
      <c r="H434" s="116"/>
      <c r="I434" s="38" t="s">
        <v>420</v>
      </c>
      <c r="J434" s="38" t="str">
        <f t="shared" si="12"/>
        <v>433_真南から西へ45度以上75度未満</v>
      </c>
      <c r="K434" s="38"/>
      <c r="L434" s="38"/>
    </row>
    <row r="435" spans="1:13" x14ac:dyDescent="0.4">
      <c r="A435" s="37" t="str">
        <f t="shared" si="13"/>
        <v>434</v>
      </c>
      <c r="B435" s="38" t="s">
        <v>138</v>
      </c>
      <c r="C435" s="45"/>
      <c r="D435" s="40"/>
      <c r="E435" s="40"/>
      <c r="F435" s="40"/>
      <c r="G435" s="40"/>
      <c r="H435" s="115"/>
      <c r="I435" s="40" t="s">
        <v>421</v>
      </c>
      <c r="J435" s="40" t="str">
        <f t="shared" si="12"/>
        <v>434_真南から西へ15度以上45度未満</v>
      </c>
      <c r="K435" s="40"/>
      <c r="L435" s="40"/>
    </row>
    <row r="436" spans="1:13" x14ac:dyDescent="0.4">
      <c r="A436" s="37" t="str">
        <f t="shared" si="13"/>
        <v>435</v>
      </c>
      <c r="B436" s="38" t="s">
        <v>138</v>
      </c>
      <c r="C436" s="42" t="s">
        <v>1479</v>
      </c>
      <c r="D436" s="38" t="s">
        <v>451</v>
      </c>
      <c r="E436" s="38"/>
      <c r="F436" s="38"/>
      <c r="G436" s="38"/>
      <c r="H436" s="116"/>
      <c r="I436" s="38" t="s">
        <v>422</v>
      </c>
      <c r="J436" s="38" t="str">
        <f t="shared" ref="J436:J499" si="14">A436&amp;"_"&amp;I436</f>
        <v>435_0度（水平）</v>
      </c>
      <c r="K436" s="38"/>
      <c r="L436" s="38"/>
      <c r="M436" s="36" t="str">
        <f>"太陽光_"&amp;D436</f>
        <v>太陽光_パネル設置傾斜角_パネル3</v>
      </c>
    </row>
    <row r="437" spans="1:13" x14ac:dyDescent="0.4">
      <c r="A437" s="37" t="str">
        <f t="shared" si="13"/>
        <v>436</v>
      </c>
      <c r="B437" s="38" t="s">
        <v>138</v>
      </c>
      <c r="C437" s="42"/>
      <c r="D437" s="38"/>
      <c r="E437" s="38"/>
      <c r="F437" s="38"/>
      <c r="G437" s="38"/>
      <c r="H437" s="116"/>
      <c r="I437" s="38" t="s">
        <v>423</v>
      </c>
      <c r="J437" s="38" t="str">
        <f t="shared" si="14"/>
        <v>436_10度</v>
      </c>
      <c r="K437" s="38"/>
      <c r="L437" s="38"/>
    </row>
    <row r="438" spans="1:13" x14ac:dyDescent="0.4">
      <c r="A438" s="37" t="str">
        <f t="shared" si="13"/>
        <v>437</v>
      </c>
      <c r="B438" s="38" t="s">
        <v>138</v>
      </c>
      <c r="C438" s="42"/>
      <c r="D438" s="38"/>
      <c r="E438" s="38"/>
      <c r="F438" s="38"/>
      <c r="G438" s="38"/>
      <c r="H438" s="116"/>
      <c r="I438" s="38" t="s">
        <v>424</v>
      </c>
      <c r="J438" s="38" t="str">
        <f t="shared" si="14"/>
        <v>437_20度</v>
      </c>
      <c r="K438" s="38"/>
      <c r="L438" s="38"/>
    </row>
    <row r="439" spans="1:13" x14ac:dyDescent="0.4">
      <c r="A439" s="37" t="str">
        <f t="shared" si="13"/>
        <v>438</v>
      </c>
      <c r="B439" s="38" t="s">
        <v>138</v>
      </c>
      <c r="C439" s="42"/>
      <c r="D439" s="38"/>
      <c r="E439" s="38"/>
      <c r="F439" s="38"/>
      <c r="G439" s="38"/>
      <c r="H439" s="116"/>
      <c r="I439" s="38" t="s">
        <v>425</v>
      </c>
      <c r="J439" s="38" t="str">
        <f t="shared" si="14"/>
        <v>438_30度</v>
      </c>
      <c r="K439" s="38"/>
      <c r="L439" s="38"/>
    </row>
    <row r="440" spans="1:13" x14ac:dyDescent="0.4">
      <c r="A440" s="37" t="str">
        <f t="shared" si="13"/>
        <v>439</v>
      </c>
      <c r="B440" s="38" t="s">
        <v>138</v>
      </c>
      <c r="C440" s="42"/>
      <c r="D440" s="38"/>
      <c r="E440" s="38"/>
      <c r="F440" s="38"/>
      <c r="G440" s="38"/>
      <c r="H440" s="116"/>
      <c r="I440" s="38" t="s">
        <v>426</v>
      </c>
      <c r="J440" s="38" t="str">
        <f t="shared" si="14"/>
        <v>439_40度</v>
      </c>
      <c r="K440" s="38"/>
      <c r="L440" s="38"/>
    </row>
    <row r="441" spans="1:13" x14ac:dyDescent="0.4">
      <c r="A441" s="37" t="str">
        <f t="shared" si="13"/>
        <v>440</v>
      </c>
      <c r="B441" s="38" t="s">
        <v>138</v>
      </c>
      <c r="C441" s="42"/>
      <c r="D441" s="38"/>
      <c r="E441" s="38"/>
      <c r="F441" s="38"/>
      <c r="G441" s="38"/>
      <c r="H441" s="116"/>
      <c r="I441" s="38" t="s">
        <v>427</v>
      </c>
      <c r="J441" s="38" t="str">
        <f t="shared" si="14"/>
        <v>440_50度</v>
      </c>
      <c r="K441" s="38"/>
      <c r="L441" s="38"/>
    </row>
    <row r="442" spans="1:13" x14ac:dyDescent="0.4">
      <c r="A442" s="37" t="str">
        <f t="shared" si="13"/>
        <v>441</v>
      </c>
      <c r="B442" s="38" t="s">
        <v>138</v>
      </c>
      <c r="C442" s="42"/>
      <c r="D442" s="38"/>
      <c r="E442" s="38"/>
      <c r="F442" s="38"/>
      <c r="G442" s="38"/>
      <c r="H442" s="116"/>
      <c r="I442" s="38" t="s">
        <v>428</v>
      </c>
      <c r="J442" s="38" t="str">
        <f t="shared" si="14"/>
        <v>441_60度</v>
      </c>
      <c r="K442" s="38"/>
      <c r="L442" s="38"/>
    </row>
    <row r="443" spans="1:13" x14ac:dyDescent="0.4">
      <c r="A443" s="37" t="str">
        <f t="shared" si="13"/>
        <v>442</v>
      </c>
      <c r="B443" s="38" t="s">
        <v>138</v>
      </c>
      <c r="C443" s="42"/>
      <c r="D443" s="38"/>
      <c r="E443" s="38"/>
      <c r="F443" s="38"/>
      <c r="G443" s="38"/>
      <c r="H443" s="116"/>
      <c r="I443" s="38" t="s">
        <v>429</v>
      </c>
      <c r="J443" s="38" t="str">
        <f t="shared" si="14"/>
        <v>442_70度</v>
      </c>
      <c r="K443" s="38"/>
      <c r="L443" s="38"/>
    </row>
    <row r="444" spans="1:13" x14ac:dyDescent="0.4">
      <c r="A444" s="37" t="str">
        <f t="shared" si="13"/>
        <v>443</v>
      </c>
      <c r="B444" s="38" t="s">
        <v>138</v>
      </c>
      <c r="C444" s="42"/>
      <c r="D444" s="38"/>
      <c r="E444" s="38"/>
      <c r="F444" s="38"/>
      <c r="G444" s="38"/>
      <c r="H444" s="116"/>
      <c r="I444" s="38" t="s">
        <v>430</v>
      </c>
      <c r="J444" s="38" t="str">
        <f t="shared" si="14"/>
        <v>443_80度</v>
      </c>
      <c r="K444" s="38"/>
      <c r="L444" s="38"/>
    </row>
    <row r="445" spans="1:13" x14ac:dyDescent="0.4">
      <c r="A445" s="44" t="str">
        <f t="shared" si="13"/>
        <v>444</v>
      </c>
      <c r="B445" s="40" t="s">
        <v>138</v>
      </c>
      <c r="C445" s="45"/>
      <c r="D445" s="40"/>
      <c r="E445" s="40"/>
      <c r="F445" s="40"/>
      <c r="G445" s="40"/>
      <c r="H445" s="115"/>
      <c r="I445" s="40" t="s">
        <v>431</v>
      </c>
      <c r="J445" s="40" t="str">
        <f t="shared" si="14"/>
        <v>444_90度（鉛直）</v>
      </c>
      <c r="K445" s="40"/>
      <c r="L445" s="40"/>
    </row>
    <row r="446" spans="1:13" x14ac:dyDescent="0.4">
      <c r="A446" s="37" t="str">
        <f t="shared" si="13"/>
        <v>445</v>
      </c>
      <c r="B446" s="46" t="s">
        <v>139</v>
      </c>
      <c r="C446" s="47">
        <v>1</v>
      </c>
      <c r="D446" s="48" t="s">
        <v>453</v>
      </c>
      <c r="E446" s="48"/>
      <c r="F446" s="48"/>
      <c r="G446" s="48"/>
      <c r="H446" s="119"/>
      <c r="I446" s="48" t="s">
        <v>314</v>
      </c>
      <c r="J446" s="48" t="str">
        <f t="shared" si="14"/>
        <v>445_評価しない、または設置しない</v>
      </c>
      <c r="K446" s="48"/>
      <c r="L446" s="48"/>
      <c r="M446" s="36" t="str">
        <f>"太陽熱_"&amp;D446</f>
        <v>太陽熱_液体集熱式太陽熱利用設備</v>
      </c>
    </row>
    <row r="447" spans="1:13" x14ac:dyDescent="0.4">
      <c r="A447" s="37" t="str">
        <f t="shared" si="13"/>
        <v>446</v>
      </c>
      <c r="B447" s="48" t="s">
        <v>139</v>
      </c>
      <c r="C447" s="49">
        <v>1</v>
      </c>
      <c r="D447" s="50"/>
      <c r="E447" s="50"/>
      <c r="F447" s="50"/>
      <c r="G447" s="50"/>
      <c r="H447" s="120"/>
      <c r="I447" s="50" t="s">
        <v>315</v>
      </c>
      <c r="J447" s="50" t="str">
        <f t="shared" si="14"/>
        <v>446_設置する</v>
      </c>
      <c r="K447" s="50"/>
      <c r="L447" s="50"/>
    </row>
    <row r="448" spans="1:13" x14ac:dyDescent="0.4">
      <c r="A448" s="37" t="str">
        <f t="shared" si="13"/>
        <v>447</v>
      </c>
      <c r="B448" s="48" t="s">
        <v>139</v>
      </c>
      <c r="C448" s="49">
        <v>1</v>
      </c>
      <c r="D448" s="48" t="s">
        <v>454</v>
      </c>
      <c r="E448" s="48"/>
      <c r="F448" s="48"/>
      <c r="G448" s="48"/>
      <c r="H448" s="119"/>
      <c r="I448" s="48" t="s">
        <v>462</v>
      </c>
      <c r="J448" s="48" t="str">
        <f t="shared" si="14"/>
        <v>447_開放形太陽熱温水器</v>
      </c>
      <c r="K448" s="48"/>
      <c r="L448" s="48"/>
      <c r="M448" s="36" t="str">
        <f>"太陽熱_"&amp;D448</f>
        <v>太陽熱_設備の種類</v>
      </c>
    </row>
    <row r="449" spans="1:13" x14ac:dyDescent="0.4">
      <c r="A449" s="37" t="str">
        <f t="shared" si="13"/>
        <v>448</v>
      </c>
      <c r="B449" s="48" t="s">
        <v>139</v>
      </c>
      <c r="C449" s="49">
        <v>1</v>
      </c>
      <c r="D449" s="48"/>
      <c r="E449" s="48"/>
      <c r="F449" s="48"/>
      <c r="G449" s="48"/>
      <c r="H449" s="119"/>
      <c r="I449" s="48" t="s">
        <v>465</v>
      </c>
      <c r="J449" s="48" t="str">
        <f t="shared" si="14"/>
        <v>448_密閉形太陽熱温水器（直圧式）</v>
      </c>
      <c r="K449" s="48"/>
      <c r="L449" s="48"/>
    </row>
    <row r="450" spans="1:13" x14ac:dyDescent="0.4">
      <c r="A450" s="37" t="str">
        <f t="shared" si="13"/>
        <v>449</v>
      </c>
      <c r="B450" s="48" t="s">
        <v>139</v>
      </c>
      <c r="C450" s="49">
        <v>1</v>
      </c>
      <c r="D450" s="50"/>
      <c r="E450" s="50"/>
      <c r="F450" s="50"/>
      <c r="G450" s="50"/>
      <c r="H450" s="120"/>
      <c r="I450" s="50" t="s">
        <v>466</v>
      </c>
      <c r="J450" s="50" t="str">
        <f t="shared" si="14"/>
        <v>449_ソーラーシステム</v>
      </c>
      <c r="K450" s="50"/>
      <c r="L450" s="50"/>
    </row>
    <row r="451" spans="1:13" x14ac:dyDescent="0.4">
      <c r="A451" s="37" t="str">
        <f t="shared" si="13"/>
        <v>450</v>
      </c>
      <c r="B451" s="48" t="s">
        <v>139</v>
      </c>
      <c r="C451" s="49">
        <v>1</v>
      </c>
      <c r="D451" s="50" t="s">
        <v>464</v>
      </c>
      <c r="E451" s="50"/>
      <c r="F451" s="50"/>
      <c r="G451" s="50"/>
      <c r="H451" s="120"/>
      <c r="I451" s="50" t="s">
        <v>455</v>
      </c>
      <c r="J451" s="50" t="str">
        <f t="shared" si="14"/>
        <v>450_浴槽落とし込み方式</v>
      </c>
      <c r="K451" s="50"/>
      <c r="L451" s="50"/>
      <c r="M451" s="36" t="str">
        <f>"太陽熱_"&amp;D451</f>
        <v>太陽熱_給湯接続方式の種類_開放形太陽熱温水器</v>
      </c>
    </row>
    <row r="452" spans="1:13" x14ac:dyDescent="0.4">
      <c r="A452" s="37" t="str">
        <f t="shared" si="13"/>
        <v>451</v>
      </c>
      <c r="B452" s="48" t="s">
        <v>139</v>
      </c>
      <c r="C452" s="49">
        <v>1</v>
      </c>
      <c r="D452" s="48" t="s">
        <v>542</v>
      </c>
      <c r="E452" s="48"/>
      <c r="F452" s="48"/>
      <c r="G452" s="48"/>
      <c r="H452" s="119"/>
      <c r="I452" s="48" t="s">
        <v>459</v>
      </c>
      <c r="J452" s="48" t="str">
        <f t="shared" si="14"/>
        <v>451_接続ユニット方式</v>
      </c>
      <c r="K452" s="48"/>
      <c r="L452" s="48"/>
      <c r="M452" s="36" t="str">
        <f>"太陽熱_"&amp;D452</f>
        <v>太陽熱_給湯接続方式の種類_密閉形太陽熱温水器_直圧式</v>
      </c>
    </row>
    <row r="453" spans="1:13" x14ac:dyDescent="0.4">
      <c r="A453" s="37" t="str">
        <f t="shared" si="13"/>
        <v>452</v>
      </c>
      <c r="B453" s="48" t="s">
        <v>139</v>
      </c>
      <c r="C453" s="49">
        <v>1</v>
      </c>
      <c r="D453" s="50"/>
      <c r="E453" s="50"/>
      <c r="F453" s="50"/>
      <c r="G453" s="50"/>
      <c r="H453" s="120"/>
      <c r="I453" s="50" t="s">
        <v>460</v>
      </c>
      <c r="J453" s="50" t="str">
        <f t="shared" si="14"/>
        <v>452_給水予熱方式</v>
      </c>
      <c r="K453" s="50"/>
      <c r="L453" s="50"/>
    </row>
    <row r="454" spans="1:13" x14ac:dyDescent="0.4">
      <c r="A454" s="37" t="str">
        <f t="shared" si="13"/>
        <v>453</v>
      </c>
      <c r="B454" s="48" t="s">
        <v>139</v>
      </c>
      <c r="C454" s="49">
        <v>1</v>
      </c>
      <c r="D454" s="48" t="s">
        <v>468</v>
      </c>
      <c r="E454" s="48"/>
      <c r="F454" s="48"/>
      <c r="G454" s="48"/>
      <c r="H454" s="119"/>
      <c r="I454" s="48" t="s">
        <v>459</v>
      </c>
      <c r="J454" s="48" t="str">
        <f t="shared" si="14"/>
        <v>453_接続ユニット方式</v>
      </c>
      <c r="K454" s="48"/>
      <c r="L454" s="48"/>
      <c r="M454" s="36" t="str">
        <f>"太陽熱_"&amp;D454</f>
        <v>太陽熱_給湯接続方式の種類_ソーラーシステム</v>
      </c>
    </row>
    <row r="455" spans="1:13" x14ac:dyDescent="0.4">
      <c r="A455" s="37" t="str">
        <f t="shared" si="13"/>
        <v>454</v>
      </c>
      <c r="B455" s="48" t="s">
        <v>139</v>
      </c>
      <c r="C455" s="49">
        <v>1</v>
      </c>
      <c r="D455" s="50"/>
      <c r="E455" s="50"/>
      <c r="F455" s="50"/>
      <c r="G455" s="50"/>
      <c r="H455" s="120"/>
      <c r="I455" s="50" t="s">
        <v>461</v>
      </c>
      <c r="J455" s="50" t="str">
        <f t="shared" si="14"/>
        <v>454_三方弁方式</v>
      </c>
      <c r="K455" s="50"/>
      <c r="L455" s="50"/>
    </row>
    <row r="456" spans="1:13" x14ac:dyDescent="0.4">
      <c r="A456" s="37" t="str">
        <f t="shared" si="13"/>
        <v>455</v>
      </c>
      <c r="B456" s="48" t="s">
        <v>139</v>
      </c>
      <c r="C456" s="49">
        <v>1</v>
      </c>
      <c r="D456" s="48" t="s">
        <v>456</v>
      </c>
      <c r="E456" s="48"/>
      <c r="F456" s="48"/>
      <c r="G456" s="48"/>
      <c r="H456" s="119"/>
      <c r="I456" s="48" t="s">
        <v>457</v>
      </c>
      <c r="J456" s="48" t="str">
        <f t="shared" si="14"/>
        <v>455_シャワー・浴槽水栓</v>
      </c>
      <c r="K456" s="48"/>
      <c r="L456" s="48"/>
      <c r="M456" s="36" t="str">
        <f>"太陽熱_"&amp;D456</f>
        <v>太陽熱_太陽熱用水栓</v>
      </c>
    </row>
    <row r="457" spans="1:13" x14ac:dyDescent="0.4">
      <c r="A457" s="37" t="str">
        <f t="shared" si="13"/>
        <v>456</v>
      </c>
      <c r="B457" s="48" t="s">
        <v>139</v>
      </c>
      <c r="C457" s="51">
        <v>1</v>
      </c>
      <c r="D457" s="50"/>
      <c r="E457" s="50"/>
      <c r="F457" s="50"/>
      <c r="G457" s="50"/>
      <c r="H457" s="120"/>
      <c r="I457" s="50" t="s">
        <v>458</v>
      </c>
      <c r="J457" s="50" t="str">
        <f t="shared" si="14"/>
        <v>456_浴槽水栓</v>
      </c>
      <c r="K457" s="50"/>
      <c r="L457" s="50"/>
    </row>
    <row r="458" spans="1:13" x14ac:dyDescent="0.4">
      <c r="A458" s="37" t="str">
        <f t="shared" si="13"/>
        <v>457</v>
      </c>
      <c r="B458" s="48" t="s">
        <v>139</v>
      </c>
      <c r="C458" s="49">
        <v>2</v>
      </c>
      <c r="D458" s="48" t="s">
        <v>470</v>
      </c>
      <c r="E458" s="48"/>
      <c r="F458" s="48"/>
      <c r="G458" s="48"/>
      <c r="H458" s="119"/>
      <c r="I458" s="48" t="s">
        <v>361</v>
      </c>
      <c r="J458" s="48" t="str">
        <f t="shared" si="14"/>
        <v>457_品番を指定しない（規定値を用いる）</v>
      </c>
      <c r="K458" s="48"/>
      <c r="L458" s="48"/>
      <c r="M458" s="36" t="str">
        <f>"太陽熱_"&amp;D458</f>
        <v>太陽熱_開放形太陽熱温水器の指定</v>
      </c>
    </row>
    <row r="459" spans="1:13" x14ac:dyDescent="0.4">
      <c r="A459" s="37" t="str">
        <f t="shared" si="13"/>
        <v>458</v>
      </c>
      <c r="B459" s="48" t="s">
        <v>139</v>
      </c>
      <c r="C459" s="49">
        <v>2</v>
      </c>
      <c r="D459" s="50"/>
      <c r="E459" s="50"/>
      <c r="F459" s="50"/>
      <c r="G459" s="50"/>
      <c r="H459" s="120"/>
      <c r="I459" s="50" t="s">
        <v>363</v>
      </c>
      <c r="J459" s="50" t="str">
        <f t="shared" si="14"/>
        <v>458_品番を指定しない（パラメータを入力する）</v>
      </c>
      <c r="K459" s="50"/>
      <c r="L459" s="50"/>
    </row>
    <row r="460" spans="1:13" x14ac:dyDescent="0.4">
      <c r="A460" s="37" t="str">
        <f t="shared" si="13"/>
        <v>459</v>
      </c>
      <c r="B460" s="48" t="s">
        <v>139</v>
      </c>
      <c r="C460" s="49">
        <v>2</v>
      </c>
      <c r="D460" s="48" t="s">
        <v>475</v>
      </c>
      <c r="E460" s="48"/>
      <c r="F460" s="48"/>
      <c r="G460" s="48"/>
      <c r="H460" s="119"/>
      <c r="I460" s="48" t="s">
        <v>361</v>
      </c>
      <c r="J460" s="48" t="str">
        <f t="shared" si="14"/>
        <v>459_品番を指定しない（規定値を用いる）</v>
      </c>
      <c r="K460" s="48"/>
      <c r="L460" s="48"/>
      <c r="M460" s="36" t="str">
        <f>"太陽熱_"&amp;D460</f>
        <v>太陽熱_密閉形太陽熱温水器の指定</v>
      </c>
    </row>
    <row r="461" spans="1:13" x14ac:dyDescent="0.4">
      <c r="A461" s="37" t="str">
        <f t="shared" si="13"/>
        <v>460</v>
      </c>
      <c r="B461" s="48" t="s">
        <v>139</v>
      </c>
      <c r="C461" s="49">
        <v>2</v>
      </c>
      <c r="D461" s="48"/>
      <c r="E461" s="48"/>
      <c r="F461" s="48"/>
      <c r="G461" s="48"/>
      <c r="H461" s="119"/>
      <c r="I461" s="48" t="s">
        <v>363</v>
      </c>
      <c r="J461" s="48" t="str">
        <f t="shared" si="14"/>
        <v>460_品番を指定しない（パラメータを入力する）</v>
      </c>
      <c r="K461" s="48"/>
      <c r="L461" s="48"/>
    </row>
    <row r="462" spans="1:13" x14ac:dyDescent="0.4">
      <c r="A462" s="37" t="str">
        <f t="shared" si="13"/>
        <v>461</v>
      </c>
      <c r="B462" s="48" t="s">
        <v>139</v>
      </c>
      <c r="C462" s="49">
        <v>2</v>
      </c>
      <c r="D462" s="50"/>
      <c r="E462" s="50"/>
      <c r="F462" s="50"/>
      <c r="G462" s="50"/>
      <c r="H462" s="120"/>
      <c r="I462" s="50" t="s">
        <v>364</v>
      </c>
      <c r="J462" s="50" t="str">
        <f t="shared" si="14"/>
        <v>461_品番を指定する</v>
      </c>
      <c r="K462" s="50"/>
      <c r="L462" s="50"/>
    </row>
    <row r="463" spans="1:13" x14ac:dyDescent="0.4">
      <c r="A463" s="37" t="str">
        <f t="shared" si="13"/>
        <v>462</v>
      </c>
      <c r="B463" s="48" t="s">
        <v>139</v>
      </c>
      <c r="C463" s="49">
        <v>2</v>
      </c>
      <c r="D463" s="48" t="s">
        <v>469</v>
      </c>
      <c r="E463" s="48"/>
      <c r="F463" s="48"/>
      <c r="G463" s="48"/>
      <c r="H463" s="119"/>
      <c r="I463" s="48" t="s">
        <v>361</v>
      </c>
      <c r="J463" s="48" t="str">
        <f t="shared" si="14"/>
        <v>462_品番を指定しない（規定値を用いる）</v>
      </c>
      <c r="K463" s="48"/>
      <c r="L463" s="48"/>
      <c r="M463" s="36" t="str">
        <f>"太陽熱_"&amp;D463</f>
        <v>太陽熱_ソーラーシステムの指定</v>
      </c>
    </row>
    <row r="464" spans="1:13" x14ac:dyDescent="0.4">
      <c r="A464" s="37" t="str">
        <f t="shared" si="13"/>
        <v>463</v>
      </c>
      <c r="B464" s="48" t="s">
        <v>139</v>
      </c>
      <c r="C464" s="49">
        <v>2</v>
      </c>
      <c r="D464" s="48"/>
      <c r="E464" s="48"/>
      <c r="F464" s="48"/>
      <c r="G464" s="48"/>
      <c r="H464" s="119"/>
      <c r="I464" s="48" t="s">
        <v>363</v>
      </c>
      <c r="J464" s="48" t="str">
        <f t="shared" si="14"/>
        <v>463_品番を指定しない（パラメータを入力する）</v>
      </c>
      <c r="K464" s="48"/>
      <c r="L464" s="48"/>
    </row>
    <row r="465" spans="1:13" x14ac:dyDescent="0.4">
      <c r="A465" s="37" t="str">
        <f t="shared" si="13"/>
        <v>464</v>
      </c>
      <c r="B465" s="48" t="s">
        <v>139</v>
      </c>
      <c r="C465" s="49">
        <v>2</v>
      </c>
      <c r="D465" s="50"/>
      <c r="E465" s="50"/>
      <c r="F465" s="50"/>
      <c r="G465" s="50"/>
      <c r="H465" s="120"/>
      <c r="I465" s="50" t="s">
        <v>364</v>
      </c>
      <c r="J465" s="50" t="str">
        <f t="shared" si="14"/>
        <v>464_品番を指定する</v>
      </c>
      <c r="K465" s="50"/>
      <c r="L465" s="50"/>
    </row>
    <row r="466" spans="1:13" x14ac:dyDescent="0.4">
      <c r="A466" s="37" t="str">
        <f t="shared" si="13"/>
        <v>465</v>
      </c>
      <c r="B466" s="48" t="s">
        <v>139</v>
      </c>
      <c r="C466" s="49">
        <v>2</v>
      </c>
      <c r="D466" s="50" t="s">
        <v>471</v>
      </c>
      <c r="E466" s="50"/>
      <c r="F466" s="50"/>
      <c r="G466" s="50"/>
      <c r="H466" s="120"/>
      <c r="I466" s="50">
        <v>99</v>
      </c>
      <c r="J466" s="50" t="str">
        <f t="shared" si="14"/>
        <v>465_99</v>
      </c>
      <c r="K466" s="50"/>
      <c r="L466" s="50"/>
      <c r="M466" s="36" t="str">
        <f>"太陽熱_"&amp;D466</f>
        <v>太陽熱_集熱部総面積</v>
      </c>
    </row>
    <row r="467" spans="1:13" x14ac:dyDescent="0.4">
      <c r="A467" s="37" t="str">
        <f t="shared" si="13"/>
        <v>466</v>
      </c>
      <c r="B467" s="48" t="s">
        <v>139</v>
      </c>
      <c r="C467" s="49">
        <v>2</v>
      </c>
      <c r="D467" s="48" t="s">
        <v>472</v>
      </c>
      <c r="E467" s="48"/>
      <c r="F467" s="48"/>
      <c r="G467" s="48"/>
      <c r="H467" s="119"/>
      <c r="I467" s="48" t="s">
        <v>410</v>
      </c>
      <c r="J467" s="48" t="str">
        <f t="shared" si="14"/>
        <v>466_真南から東および西へ15度未満</v>
      </c>
      <c r="K467" s="48"/>
      <c r="L467" s="48"/>
      <c r="M467" s="36" t="str">
        <f>"太陽熱_"&amp;D467</f>
        <v>太陽熱_集熱部の設置方位角</v>
      </c>
    </row>
    <row r="468" spans="1:13" x14ac:dyDescent="0.4">
      <c r="A468" s="37" t="str">
        <f t="shared" si="13"/>
        <v>467</v>
      </c>
      <c r="B468" s="48" t="s">
        <v>139</v>
      </c>
      <c r="C468" s="49">
        <v>2</v>
      </c>
      <c r="D468" s="48"/>
      <c r="E468" s="48"/>
      <c r="F468" s="48"/>
      <c r="G468" s="48"/>
      <c r="H468" s="119"/>
      <c r="I468" s="48" t="s">
        <v>411</v>
      </c>
      <c r="J468" s="48" t="str">
        <f t="shared" si="14"/>
        <v>467_真南から東へ15度以上45度未満</v>
      </c>
      <c r="K468" s="48"/>
      <c r="L468" s="48"/>
    </row>
    <row r="469" spans="1:13" x14ac:dyDescent="0.4">
      <c r="A469" s="37" t="str">
        <f t="shared" si="13"/>
        <v>468</v>
      </c>
      <c r="B469" s="48" t="s">
        <v>139</v>
      </c>
      <c r="C469" s="49">
        <v>2</v>
      </c>
      <c r="D469" s="48"/>
      <c r="E469" s="48"/>
      <c r="F469" s="48"/>
      <c r="G469" s="48"/>
      <c r="H469" s="119"/>
      <c r="I469" s="48" t="s">
        <v>412</v>
      </c>
      <c r="J469" s="48" t="str">
        <f t="shared" si="14"/>
        <v>468_真南から東へ45度以上75度未満</v>
      </c>
      <c r="K469" s="48"/>
      <c r="L469" s="48"/>
    </row>
    <row r="470" spans="1:13" x14ac:dyDescent="0.4">
      <c r="A470" s="37" t="str">
        <f t="shared" si="13"/>
        <v>469</v>
      </c>
      <c r="B470" s="48" t="s">
        <v>139</v>
      </c>
      <c r="C470" s="49">
        <v>2</v>
      </c>
      <c r="D470" s="48"/>
      <c r="E470" s="48"/>
      <c r="F470" s="48"/>
      <c r="G470" s="48"/>
      <c r="H470" s="119"/>
      <c r="I470" s="48" t="s">
        <v>413</v>
      </c>
      <c r="J470" s="48" t="str">
        <f t="shared" si="14"/>
        <v>469_真南から東へ75度以上105度未満</v>
      </c>
      <c r="K470" s="48"/>
      <c r="L470" s="48"/>
    </row>
    <row r="471" spans="1:13" x14ac:dyDescent="0.4">
      <c r="A471" s="37" t="str">
        <f t="shared" si="13"/>
        <v>470</v>
      </c>
      <c r="B471" s="48" t="s">
        <v>139</v>
      </c>
      <c r="C471" s="49">
        <v>2</v>
      </c>
      <c r="D471" s="48"/>
      <c r="E471" s="48"/>
      <c r="F471" s="48"/>
      <c r="G471" s="48"/>
      <c r="H471" s="119"/>
      <c r="I471" s="48" t="s">
        <v>414</v>
      </c>
      <c r="J471" s="48" t="str">
        <f t="shared" si="14"/>
        <v>470_真南から東へ105度以上135度未満</v>
      </c>
      <c r="K471" s="48"/>
      <c r="L471" s="48"/>
    </row>
    <row r="472" spans="1:13" x14ac:dyDescent="0.4">
      <c r="A472" s="37" t="str">
        <f t="shared" si="13"/>
        <v>471</v>
      </c>
      <c r="B472" s="48" t="s">
        <v>139</v>
      </c>
      <c r="C472" s="49">
        <v>2</v>
      </c>
      <c r="D472" s="48"/>
      <c r="E472" s="48"/>
      <c r="F472" s="48"/>
      <c r="G472" s="48"/>
      <c r="H472" s="119"/>
      <c r="I472" s="48" t="s">
        <v>415</v>
      </c>
      <c r="J472" s="48" t="str">
        <f t="shared" si="14"/>
        <v>471_真南から東へ135度以上165度未満</v>
      </c>
      <c r="K472" s="48"/>
      <c r="L472" s="48"/>
    </row>
    <row r="473" spans="1:13" x14ac:dyDescent="0.4">
      <c r="A473" s="37" t="str">
        <f t="shared" si="13"/>
        <v>472</v>
      </c>
      <c r="B473" s="48" t="s">
        <v>139</v>
      </c>
      <c r="C473" s="49">
        <v>2</v>
      </c>
      <c r="D473" s="48"/>
      <c r="E473" s="48"/>
      <c r="F473" s="48"/>
      <c r="G473" s="48"/>
      <c r="H473" s="119"/>
      <c r="I473" s="48" t="s">
        <v>416</v>
      </c>
      <c r="J473" s="48" t="str">
        <f t="shared" si="14"/>
        <v>472_真南から東および西へ165度以上真北まで</v>
      </c>
      <c r="K473" s="48"/>
      <c r="L473" s="48"/>
    </row>
    <row r="474" spans="1:13" x14ac:dyDescent="0.4">
      <c r="A474" s="37" t="str">
        <f t="shared" si="13"/>
        <v>473</v>
      </c>
      <c r="B474" s="48" t="s">
        <v>139</v>
      </c>
      <c r="C474" s="49">
        <v>2</v>
      </c>
      <c r="D474" s="48"/>
      <c r="E474" s="48"/>
      <c r="F474" s="48"/>
      <c r="G474" s="48"/>
      <c r="H474" s="119"/>
      <c r="I474" s="48" t="s">
        <v>417</v>
      </c>
      <c r="J474" s="48" t="str">
        <f t="shared" si="14"/>
        <v>473_真南から西へ135度以上165度未満</v>
      </c>
      <c r="K474" s="48"/>
      <c r="L474" s="48"/>
    </row>
    <row r="475" spans="1:13" x14ac:dyDescent="0.4">
      <c r="A475" s="37" t="str">
        <f t="shared" si="13"/>
        <v>474</v>
      </c>
      <c r="B475" s="48" t="s">
        <v>139</v>
      </c>
      <c r="C475" s="49">
        <v>2</v>
      </c>
      <c r="D475" s="48"/>
      <c r="E475" s="48"/>
      <c r="F475" s="48"/>
      <c r="G475" s="48"/>
      <c r="H475" s="119"/>
      <c r="I475" s="48" t="s">
        <v>418</v>
      </c>
      <c r="J475" s="48" t="str">
        <f t="shared" si="14"/>
        <v>474_真南から西へ105度以上135度未満</v>
      </c>
      <c r="K475" s="48"/>
      <c r="L475" s="48"/>
    </row>
    <row r="476" spans="1:13" x14ac:dyDescent="0.4">
      <c r="A476" s="37" t="str">
        <f t="shared" si="13"/>
        <v>475</v>
      </c>
      <c r="B476" s="48" t="s">
        <v>139</v>
      </c>
      <c r="C476" s="49">
        <v>2</v>
      </c>
      <c r="D476" s="48"/>
      <c r="E476" s="48"/>
      <c r="F476" s="48"/>
      <c r="G476" s="48"/>
      <c r="H476" s="119"/>
      <c r="I476" s="48" t="s">
        <v>419</v>
      </c>
      <c r="J476" s="48" t="str">
        <f t="shared" si="14"/>
        <v>475_真南から西へ75度以上105度未満</v>
      </c>
      <c r="K476" s="48"/>
      <c r="L476" s="48"/>
    </row>
    <row r="477" spans="1:13" x14ac:dyDescent="0.4">
      <c r="A477" s="37" t="str">
        <f t="shared" si="13"/>
        <v>476</v>
      </c>
      <c r="B477" s="48" t="s">
        <v>139</v>
      </c>
      <c r="C477" s="49">
        <v>2</v>
      </c>
      <c r="D477" s="48"/>
      <c r="E477" s="48"/>
      <c r="F477" s="48"/>
      <c r="G477" s="48"/>
      <c r="H477" s="119"/>
      <c r="I477" s="48" t="s">
        <v>420</v>
      </c>
      <c r="J477" s="48" t="str">
        <f t="shared" si="14"/>
        <v>476_真南から西へ45度以上75度未満</v>
      </c>
      <c r="K477" s="48"/>
      <c r="L477" s="48"/>
    </row>
    <row r="478" spans="1:13" x14ac:dyDescent="0.4">
      <c r="A478" s="37" t="str">
        <f t="shared" si="13"/>
        <v>477</v>
      </c>
      <c r="B478" s="48" t="s">
        <v>139</v>
      </c>
      <c r="C478" s="49">
        <v>2</v>
      </c>
      <c r="D478" s="50"/>
      <c r="E478" s="50"/>
      <c r="F478" s="50"/>
      <c r="G478" s="50"/>
      <c r="H478" s="120"/>
      <c r="I478" s="50" t="s">
        <v>421</v>
      </c>
      <c r="J478" s="50" t="str">
        <f t="shared" si="14"/>
        <v>477_真南から西へ15度以上45度未満</v>
      </c>
      <c r="K478" s="50"/>
      <c r="L478" s="50"/>
    </row>
    <row r="479" spans="1:13" x14ac:dyDescent="0.4">
      <c r="A479" s="37" t="str">
        <f t="shared" si="13"/>
        <v>478</v>
      </c>
      <c r="B479" s="48" t="s">
        <v>139</v>
      </c>
      <c r="C479" s="49">
        <v>2</v>
      </c>
      <c r="D479" s="48" t="s">
        <v>473</v>
      </c>
      <c r="E479" s="48"/>
      <c r="F479" s="48"/>
      <c r="G479" s="48"/>
      <c r="H479" s="119"/>
      <c r="I479" s="48" t="s">
        <v>422</v>
      </c>
      <c r="J479" s="48" t="str">
        <f t="shared" si="14"/>
        <v>478_0度（水平）</v>
      </c>
      <c r="K479" s="48"/>
      <c r="L479" s="48"/>
      <c r="M479" s="36" t="str">
        <f>"太陽熱_"&amp;D479</f>
        <v>太陽熱_集熱部の設置傾斜角</v>
      </c>
    </row>
    <row r="480" spans="1:13" x14ac:dyDescent="0.4">
      <c r="A480" s="37" t="str">
        <f t="shared" si="13"/>
        <v>479</v>
      </c>
      <c r="B480" s="48" t="s">
        <v>139</v>
      </c>
      <c r="C480" s="49">
        <v>2</v>
      </c>
      <c r="D480" s="48"/>
      <c r="E480" s="48"/>
      <c r="F480" s="48"/>
      <c r="G480" s="48"/>
      <c r="H480" s="119"/>
      <c r="I480" s="48" t="s">
        <v>423</v>
      </c>
      <c r="J480" s="48" t="str">
        <f t="shared" si="14"/>
        <v>479_10度</v>
      </c>
      <c r="K480" s="48"/>
      <c r="L480" s="48"/>
    </row>
    <row r="481" spans="1:13" x14ac:dyDescent="0.4">
      <c r="A481" s="37" t="str">
        <f t="shared" si="13"/>
        <v>480</v>
      </c>
      <c r="B481" s="48" t="s">
        <v>139</v>
      </c>
      <c r="C481" s="49">
        <v>2</v>
      </c>
      <c r="D481" s="48"/>
      <c r="E481" s="48"/>
      <c r="F481" s="48"/>
      <c r="G481" s="48"/>
      <c r="H481" s="119"/>
      <c r="I481" s="48" t="s">
        <v>424</v>
      </c>
      <c r="J481" s="48" t="str">
        <f t="shared" si="14"/>
        <v>480_20度</v>
      </c>
      <c r="K481" s="48"/>
      <c r="L481" s="48"/>
    </row>
    <row r="482" spans="1:13" x14ac:dyDescent="0.4">
      <c r="A482" s="37" t="str">
        <f t="shared" si="13"/>
        <v>481</v>
      </c>
      <c r="B482" s="48" t="s">
        <v>139</v>
      </c>
      <c r="C482" s="49">
        <v>2</v>
      </c>
      <c r="D482" s="48"/>
      <c r="E482" s="48"/>
      <c r="F482" s="48"/>
      <c r="G482" s="48"/>
      <c r="H482" s="119"/>
      <c r="I482" s="48" t="s">
        <v>425</v>
      </c>
      <c r="J482" s="48" t="str">
        <f t="shared" si="14"/>
        <v>481_30度</v>
      </c>
      <c r="K482" s="48"/>
      <c r="L482" s="48"/>
    </row>
    <row r="483" spans="1:13" x14ac:dyDescent="0.4">
      <c r="A483" s="37" t="str">
        <f t="shared" si="13"/>
        <v>482</v>
      </c>
      <c r="B483" s="48" t="s">
        <v>139</v>
      </c>
      <c r="C483" s="49">
        <v>2</v>
      </c>
      <c r="D483" s="48"/>
      <c r="E483" s="48"/>
      <c r="F483" s="48"/>
      <c r="G483" s="48"/>
      <c r="H483" s="119"/>
      <c r="I483" s="48" t="s">
        <v>426</v>
      </c>
      <c r="J483" s="48" t="str">
        <f t="shared" si="14"/>
        <v>482_40度</v>
      </c>
      <c r="K483" s="48"/>
      <c r="L483" s="48"/>
    </row>
    <row r="484" spans="1:13" x14ac:dyDescent="0.4">
      <c r="A484" s="37" t="str">
        <f t="shared" si="13"/>
        <v>483</v>
      </c>
      <c r="B484" s="48" t="s">
        <v>139</v>
      </c>
      <c r="C484" s="49">
        <v>2</v>
      </c>
      <c r="D484" s="48"/>
      <c r="E484" s="48"/>
      <c r="F484" s="48"/>
      <c r="G484" s="48"/>
      <c r="H484" s="119"/>
      <c r="I484" s="48" t="s">
        <v>427</v>
      </c>
      <c r="J484" s="48" t="str">
        <f t="shared" si="14"/>
        <v>483_50度</v>
      </c>
      <c r="K484" s="48"/>
      <c r="L484" s="48"/>
    </row>
    <row r="485" spans="1:13" x14ac:dyDescent="0.4">
      <c r="A485" s="37" t="str">
        <f t="shared" si="13"/>
        <v>484</v>
      </c>
      <c r="B485" s="48" t="s">
        <v>139</v>
      </c>
      <c r="C485" s="49">
        <v>2</v>
      </c>
      <c r="D485" s="48"/>
      <c r="E485" s="48"/>
      <c r="F485" s="48"/>
      <c r="G485" s="48"/>
      <c r="H485" s="119"/>
      <c r="I485" s="48" t="s">
        <v>428</v>
      </c>
      <c r="J485" s="48" t="str">
        <f t="shared" si="14"/>
        <v>484_60度</v>
      </c>
      <c r="K485" s="48"/>
      <c r="L485" s="48"/>
    </row>
    <row r="486" spans="1:13" x14ac:dyDescent="0.4">
      <c r="A486" s="37" t="str">
        <f t="shared" si="13"/>
        <v>485</v>
      </c>
      <c r="B486" s="48" t="s">
        <v>139</v>
      </c>
      <c r="C486" s="49">
        <v>2</v>
      </c>
      <c r="D486" s="48"/>
      <c r="E486" s="48"/>
      <c r="F486" s="48"/>
      <c r="G486" s="48"/>
      <c r="H486" s="119"/>
      <c r="I486" s="48" t="s">
        <v>429</v>
      </c>
      <c r="J486" s="48" t="str">
        <f t="shared" si="14"/>
        <v>485_70度</v>
      </c>
      <c r="K486" s="48"/>
      <c r="L486" s="48"/>
    </row>
    <row r="487" spans="1:13" x14ac:dyDescent="0.4">
      <c r="A487" s="37" t="str">
        <f t="shared" si="13"/>
        <v>486</v>
      </c>
      <c r="B487" s="48" t="s">
        <v>139</v>
      </c>
      <c r="C487" s="49">
        <v>2</v>
      </c>
      <c r="D487" s="48"/>
      <c r="E487" s="48"/>
      <c r="F487" s="48"/>
      <c r="G487" s="48"/>
      <c r="H487" s="119"/>
      <c r="I487" s="48" t="s">
        <v>430</v>
      </c>
      <c r="J487" s="48" t="str">
        <f t="shared" si="14"/>
        <v>486_80度</v>
      </c>
      <c r="K487" s="48"/>
      <c r="L487" s="48"/>
    </row>
    <row r="488" spans="1:13" x14ac:dyDescent="0.4">
      <c r="A488" s="37" t="str">
        <f t="shared" si="13"/>
        <v>487</v>
      </c>
      <c r="B488" s="48" t="s">
        <v>139</v>
      </c>
      <c r="C488" s="49">
        <v>2</v>
      </c>
      <c r="D488" s="50"/>
      <c r="E488" s="50"/>
      <c r="F488" s="50"/>
      <c r="G488" s="50"/>
      <c r="H488" s="120"/>
      <c r="I488" s="50" t="s">
        <v>431</v>
      </c>
      <c r="J488" s="50" t="str">
        <f t="shared" si="14"/>
        <v>487_90度（鉛直）</v>
      </c>
      <c r="K488" s="50"/>
      <c r="L488" s="50"/>
    </row>
    <row r="489" spans="1:13" x14ac:dyDescent="0.4">
      <c r="A489" s="37" t="str">
        <f t="shared" si="13"/>
        <v>488</v>
      </c>
      <c r="B489" s="48" t="s">
        <v>139</v>
      </c>
      <c r="C489" s="49">
        <v>2</v>
      </c>
      <c r="D489" s="50" t="s">
        <v>474</v>
      </c>
      <c r="E489" s="50"/>
      <c r="F489" s="50"/>
      <c r="G489" s="50"/>
      <c r="H489" s="120"/>
      <c r="I489" s="50">
        <v>99</v>
      </c>
      <c r="J489" s="50" t="str">
        <f t="shared" si="14"/>
        <v>488_99</v>
      </c>
      <c r="K489" s="50"/>
      <c r="L489" s="50"/>
      <c r="M489" s="36" t="str">
        <f t="shared" ref="M489:M502" si="15">"太陽熱_"&amp;D489</f>
        <v>太陽熱_貯湯量</v>
      </c>
    </row>
    <row r="490" spans="1:13" x14ac:dyDescent="0.4">
      <c r="A490" s="37" t="str">
        <f t="shared" si="13"/>
        <v>489</v>
      </c>
      <c r="B490" s="48" t="s">
        <v>139</v>
      </c>
      <c r="C490" s="49">
        <v>2</v>
      </c>
      <c r="D490" s="52" t="s">
        <v>476</v>
      </c>
      <c r="E490" s="52"/>
      <c r="F490" s="52"/>
      <c r="G490" s="52"/>
      <c r="H490" s="121"/>
      <c r="I490" s="52">
        <v>90</v>
      </c>
      <c r="J490" s="52" t="str">
        <f t="shared" si="14"/>
        <v>489_90</v>
      </c>
      <c r="K490" s="52"/>
      <c r="L490" s="52"/>
      <c r="M490" s="36" t="str">
        <f t="shared" si="15"/>
        <v>太陽熱_蓄熱タンク容量</v>
      </c>
    </row>
    <row r="491" spans="1:13" x14ac:dyDescent="0.4">
      <c r="A491" s="37" t="str">
        <f t="shared" si="13"/>
        <v>490</v>
      </c>
      <c r="B491" s="48" t="s">
        <v>139</v>
      </c>
      <c r="C491" s="51">
        <v>2</v>
      </c>
      <c r="D491" s="52" t="s">
        <v>477</v>
      </c>
      <c r="E491" s="52"/>
      <c r="F491" s="52"/>
      <c r="G491" s="52"/>
      <c r="H491" s="121"/>
      <c r="I491" s="52" t="s">
        <v>478</v>
      </c>
      <c r="J491" s="52" t="str">
        <f t="shared" si="14"/>
        <v>490_（品番）</v>
      </c>
      <c r="K491" s="52"/>
      <c r="L491" s="52"/>
      <c r="M491" s="36" t="str">
        <f t="shared" si="15"/>
        <v>太陽熱_品番</v>
      </c>
    </row>
    <row r="492" spans="1:13" x14ac:dyDescent="0.4">
      <c r="A492" s="37" t="str">
        <f t="shared" si="13"/>
        <v>491</v>
      </c>
      <c r="B492" s="48" t="s">
        <v>139</v>
      </c>
      <c r="C492" s="47">
        <v>3</v>
      </c>
      <c r="D492" s="52" t="s">
        <v>543</v>
      </c>
      <c r="E492" s="52"/>
      <c r="F492" s="52"/>
      <c r="G492" s="52"/>
      <c r="H492" s="121"/>
      <c r="I492" s="52"/>
      <c r="J492" s="52" t="str">
        <f t="shared" si="14"/>
        <v>491_</v>
      </c>
      <c r="K492" s="48"/>
      <c r="L492" s="48"/>
      <c r="M492" s="36" t="str">
        <f t="shared" si="15"/>
        <v>太陽熱_集熱部効率係数_b0</v>
      </c>
    </row>
    <row r="493" spans="1:13" x14ac:dyDescent="0.4">
      <c r="A493" s="37" t="str">
        <f t="shared" si="13"/>
        <v>492</v>
      </c>
      <c r="B493" s="48" t="s">
        <v>139</v>
      </c>
      <c r="C493" s="49">
        <v>3</v>
      </c>
      <c r="D493" s="52" t="s">
        <v>544</v>
      </c>
      <c r="E493" s="52"/>
      <c r="F493" s="52"/>
      <c r="G493" s="52"/>
      <c r="H493" s="121"/>
      <c r="I493" s="52"/>
      <c r="J493" s="52" t="str">
        <f t="shared" si="14"/>
        <v>492_</v>
      </c>
      <c r="K493" s="48"/>
      <c r="L493" s="48"/>
      <c r="M493" s="36" t="str">
        <f t="shared" si="15"/>
        <v>太陽熱_集熱部損失係数_b1</v>
      </c>
    </row>
    <row r="494" spans="1:13" x14ac:dyDescent="0.4">
      <c r="A494" s="37" t="str">
        <f t="shared" si="13"/>
        <v>493</v>
      </c>
      <c r="B494" s="48" t="s">
        <v>139</v>
      </c>
      <c r="C494" s="49">
        <v>3</v>
      </c>
      <c r="D494" s="52" t="s">
        <v>479</v>
      </c>
      <c r="E494" s="52"/>
      <c r="F494" s="52"/>
      <c r="G494" s="52"/>
      <c r="H494" s="121"/>
      <c r="I494" s="52"/>
      <c r="J494" s="52" t="str">
        <f t="shared" si="14"/>
        <v>493_</v>
      </c>
      <c r="K494" s="48"/>
      <c r="L494" s="48"/>
      <c r="M494" s="36" t="str">
        <f t="shared" si="15"/>
        <v>太陽熱_基準循環流量</v>
      </c>
    </row>
    <row r="495" spans="1:13" x14ac:dyDescent="0.4">
      <c r="A495" s="37" t="str">
        <f t="shared" si="13"/>
        <v>494</v>
      </c>
      <c r="B495" s="48" t="s">
        <v>139</v>
      </c>
      <c r="C495" s="49">
        <v>3</v>
      </c>
      <c r="D495" s="52" t="s">
        <v>480</v>
      </c>
      <c r="E495" s="52"/>
      <c r="F495" s="52"/>
      <c r="G495" s="52"/>
      <c r="H495" s="121"/>
      <c r="I495" s="52"/>
      <c r="J495" s="52" t="str">
        <f t="shared" si="14"/>
        <v>494_</v>
      </c>
      <c r="K495" s="48"/>
      <c r="L495" s="48"/>
      <c r="M495" s="36" t="str">
        <f t="shared" si="15"/>
        <v>太陽熱_熱媒の定圧比熱</v>
      </c>
    </row>
    <row r="496" spans="1:13" x14ac:dyDescent="0.4">
      <c r="A496" s="37" t="str">
        <f t="shared" si="13"/>
        <v>495</v>
      </c>
      <c r="B496" s="48" t="s">
        <v>139</v>
      </c>
      <c r="C496" s="49">
        <v>3</v>
      </c>
      <c r="D496" s="52" t="s">
        <v>481</v>
      </c>
      <c r="E496" s="52"/>
      <c r="F496" s="52"/>
      <c r="G496" s="52"/>
      <c r="H496" s="121"/>
      <c r="I496" s="52"/>
      <c r="J496" s="52" t="str">
        <f t="shared" si="14"/>
        <v>495_</v>
      </c>
      <c r="K496" s="48"/>
      <c r="L496" s="48"/>
      <c r="M496" s="36" t="str">
        <f t="shared" si="15"/>
        <v>太陽熱_集熱配管の線熱通過率</v>
      </c>
    </row>
    <row r="497" spans="1:13" x14ac:dyDescent="0.4">
      <c r="A497" s="37" t="str">
        <f t="shared" si="13"/>
        <v>496</v>
      </c>
      <c r="B497" s="48" t="s">
        <v>139</v>
      </c>
      <c r="C497" s="49">
        <v>3</v>
      </c>
      <c r="D497" s="52" t="s">
        <v>482</v>
      </c>
      <c r="E497" s="52"/>
      <c r="F497" s="52"/>
      <c r="G497" s="52"/>
      <c r="H497" s="121"/>
      <c r="I497" s="52"/>
      <c r="J497" s="52" t="str">
        <f t="shared" si="14"/>
        <v>496_</v>
      </c>
      <c r="K497" s="48"/>
      <c r="L497" s="48"/>
      <c r="M497" s="36" t="str">
        <f t="shared" si="15"/>
        <v>太陽熱_熱交換器伝熱係数</v>
      </c>
    </row>
    <row r="498" spans="1:13" x14ac:dyDescent="0.4">
      <c r="A498" s="37" t="str">
        <f t="shared" ref="A498:A561" si="16">TEXT(ROW()-1,"000")</f>
        <v>497</v>
      </c>
      <c r="B498" s="48" t="s">
        <v>139</v>
      </c>
      <c r="C498" s="49">
        <v>3</v>
      </c>
      <c r="D498" s="52" t="s">
        <v>483</v>
      </c>
      <c r="E498" s="52"/>
      <c r="F498" s="52"/>
      <c r="G498" s="52"/>
      <c r="H498" s="121"/>
      <c r="I498" s="52"/>
      <c r="J498" s="52" t="str">
        <f t="shared" si="14"/>
        <v>497_</v>
      </c>
      <c r="K498" s="48"/>
      <c r="L498" s="48"/>
      <c r="M498" s="36" t="str">
        <f t="shared" si="15"/>
        <v>太陽熱_循環ポンプ連続運転時電力</v>
      </c>
    </row>
    <row r="499" spans="1:13" x14ac:dyDescent="0.4">
      <c r="A499" s="37" t="str">
        <f t="shared" si="16"/>
        <v>498</v>
      </c>
      <c r="B499" s="48" t="s">
        <v>139</v>
      </c>
      <c r="C499" s="49">
        <v>3</v>
      </c>
      <c r="D499" s="52" t="s">
        <v>484</v>
      </c>
      <c r="E499" s="52"/>
      <c r="F499" s="52"/>
      <c r="G499" s="52"/>
      <c r="H499" s="121"/>
      <c r="I499" s="52"/>
      <c r="J499" s="52" t="str">
        <f t="shared" si="14"/>
        <v>498_</v>
      </c>
      <c r="K499" s="48"/>
      <c r="L499" s="48"/>
      <c r="M499" s="36" t="str">
        <f t="shared" si="15"/>
        <v>太陽熱_循環ポンプ集熱判定時電力</v>
      </c>
    </row>
    <row r="500" spans="1:13" x14ac:dyDescent="0.4">
      <c r="A500" s="37" t="str">
        <f t="shared" si="16"/>
        <v>499</v>
      </c>
      <c r="B500" s="48" t="s">
        <v>139</v>
      </c>
      <c r="C500" s="49">
        <v>3</v>
      </c>
      <c r="D500" s="52" t="s">
        <v>485</v>
      </c>
      <c r="E500" s="52"/>
      <c r="F500" s="52"/>
      <c r="G500" s="52"/>
      <c r="H500" s="121"/>
      <c r="I500" s="52"/>
      <c r="J500" s="52" t="str">
        <f t="shared" ref="J500:J563" si="17">A500&amp;"_"&amp;I500</f>
        <v>499_</v>
      </c>
      <c r="K500" s="48"/>
      <c r="L500" s="48"/>
      <c r="M500" s="36" t="str">
        <f t="shared" si="15"/>
        <v>太陽熱_有効出湯効率</v>
      </c>
    </row>
    <row r="501" spans="1:13" x14ac:dyDescent="0.4">
      <c r="A501" s="37" t="str">
        <f t="shared" si="16"/>
        <v>500</v>
      </c>
      <c r="B501" s="48" t="s">
        <v>139</v>
      </c>
      <c r="C501" s="51">
        <v>3</v>
      </c>
      <c r="D501" s="52" t="s">
        <v>486</v>
      </c>
      <c r="E501" s="52"/>
      <c r="F501" s="52"/>
      <c r="G501" s="52"/>
      <c r="H501" s="121"/>
      <c r="I501" s="52"/>
      <c r="J501" s="52" t="str">
        <f t="shared" si="17"/>
        <v>500_</v>
      </c>
      <c r="K501" s="50"/>
      <c r="L501" s="50"/>
      <c r="M501" s="36" t="str">
        <f t="shared" si="15"/>
        <v>太陽熱_蓄熱槽熱損失係数</v>
      </c>
    </row>
    <row r="502" spans="1:13" x14ac:dyDescent="0.4">
      <c r="A502" s="37" t="str">
        <f t="shared" si="16"/>
        <v>501</v>
      </c>
      <c r="B502" s="48" t="s">
        <v>139</v>
      </c>
      <c r="C502" s="49">
        <v>4</v>
      </c>
      <c r="D502" s="48" t="s">
        <v>487</v>
      </c>
      <c r="E502" s="48"/>
      <c r="F502" s="48"/>
      <c r="G502" s="48"/>
      <c r="H502" s="119"/>
      <c r="I502" s="48" t="s">
        <v>314</v>
      </c>
      <c r="J502" s="48" t="str">
        <f t="shared" si="17"/>
        <v>501_評価しない、または設置しない</v>
      </c>
      <c r="K502" s="48"/>
      <c r="L502" s="48"/>
      <c r="M502" s="36" t="str">
        <f t="shared" si="15"/>
        <v>太陽熱_空気集熱式太陽熱利用設備</v>
      </c>
    </row>
    <row r="503" spans="1:13" x14ac:dyDescent="0.4">
      <c r="A503" s="37" t="str">
        <f t="shared" si="16"/>
        <v>502</v>
      </c>
      <c r="B503" s="48" t="s">
        <v>139</v>
      </c>
      <c r="C503" s="49">
        <v>4</v>
      </c>
      <c r="D503" s="50"/>
      <c r="E503" s="50"/>
      <c r="F503" s="50"/>
      <c r="G503" s="50"/>
      <c r="H503" s="120"/>
      <c r="I503" s="50" t="s">
        <v>315</v>
      </c>
      <c r="J503" s="50" t="str">
        <f t="shared" si="17"/>
        <v>502_設置する</v>
      </c>
      <c r="K503" s="50"/>
      <c r="L503" s="50"/>
    </row>
    <row r="504" spans="1:13" x14ac:dyDescent="0.4">
      <c r="A504" s="37" t="str">
        <f t="shared" si="16"/>
        <v>503</v>
      </c>
      <c r="B504" s="48" t="s">
        <v>139</v>
      </c>
      <c r="C504" s="49">
        <v>4</v>
      </c>
      <c r="D504" s="48" t="s">
        <v>488</v>
      </c>
      <c r="E504" s="48"/>
      <c r="F504" s="48"/>
      <c r="G504" s="48"/>
      <c r="H504" s="119"/>
      <c r="I504" s="48" t="s">
        <v>401</v>
      </c>
      <c r="J504" s="48" t="str">
        <f t="shared" si="17"/>
        <v>503_1面</v>
      </c>
      <c r="K504" s="48"/>
      <c r="L504" s="48"/>
      <c r="M504" s="36" t="str">
        <f>"太陽熱_"&amp;D504</f>
        <v>太陽熱_集熱器群の数</v>
      </c>
    </row>
    <row r="505" spans="1:13" x14ac:dyDescent="0.4">
      <c r="A505" s="37" t="str">
        <f t="shared" si="16"/>
        <v>504</v>
      </c>
      <c r="B505" s="48" t="s">
        <v>139</v>
      </c>
      <c r="C505" s="49">
        <v>4</v>
      </c>
      <c r="D505" s="48"/>
      <c r="E505" s="48"/>
      <c r="F505" s="48"/>
      <c r="G505" s="48"/>
      <c r="H505" s="119"/>
      <c r="I505" s="48" t="s">
        <v>402</v>
      </c>
      <c r="J505" s="48" t="str">
        <f t="shared" si="17"/>
        <v>504_2面</v>
      </c>
      <c r="K505" s="48"/>
      <c r="L505" s="48"/>
    </row>
    <row r="506" spans="1:13" x14ac:dyDescent="0.4">
      <c r="A506" s="37" t="str">
        <f t="shared" si="16"/>
        <v>505</v>
      </c>
      <c r="B506" s="48" t="s">
        <v>139</v>
      </c>
      <c r="C506" s="49">
        <v>4</v>
      </c>
      <c r="D506" s="48"/>
      <c r="E506" s="48"/>
      <c r="F506" s="48"/>
      <c r="G506" s="48"/>
      <c r="H506" s="119"/>
      <c r="I506" s="48" t="s">
        <v>403</v>
      </c>
      <c r="J506" s="48" t="str">
        <f t="shared" si="17"/>
        <v>505_3面</v>
      </c>
      <c r="K506" s="48"/>
      <c r="L506" s="48"/>
    </row>
    <row r="507" spans="1:13" x14ac:dyDescent="0.4">
      <c r="A507" s="37" t="str">
        <f t="shared" si="16"/>
        <v>506</v>
      </c>
      <c r="B507" s="48" t="s">
        <v>139</v>
      </c>
      <c r="C507" s="49">
        <v>4</v>
      </c>
      <c r="D507" s="50"/>
      <c r="E507" s="50"/>
      <c r="F507" s="50"/>
      <c r="G507" s="50"/>
      <c r="H507" s="120"/>
      <c r="I507" s="50" t="s">
        <v>404</v>
      </c>
      <c r="J507" s="50" t="str">
        <f t="shared" si="17"/>
        <v>506_4面</v>
      </c>
      <c r="K507" s="50"/>
      <c r="L507" s="50"/>
    </row>
    <row r="508" spans="1:13" x14ac:dyDescent="0.4">
      <c r="A508" s="37" t="str">
        <f t="shared" si="16"/>
        <v>507</v>
      </c>
      <c r="B508" s="48" t="s">
        <v>139</v>
      </c>
      <c r="C508" s="49">
        <v>4</v>
      </c>
      <c r="D508" s="48" t="s">
        <v>489</v>
      </c>
      <c r="E508" s="48"/>
      <c r="F508" s="48"/>
      <c r="G508" s="48"/>
      <c r="H508" s="119"/>
      <c r="I508" s="48" t="s">
        <v>410</v>
      </c>
      <c r="J508" s="48" t="str">
        <f t="shared" si="17"/>
        <v>507_真南から東および西へ15度未満</v>
      </c>
      <c r="K508" s="48"/>
      <c r="L508" s="48"/>
      <c r="M508" s="36" t="str">
        <f>"太陽熱_"&amp;D508</f>
        <v>太陽熱_集熱部の方位角</v>
      </c>
    </row>
    <row r="509" spans="1:13" x14ac:dyDescent="0.4">
      <c r="A509" s="37" t="str">
        <f t="shared" si="16"/>
        <v>508</v>
      </c>
      <c r="B509" s="48" t="s">
        <v>139</v>
      </c>
      <c r="C509" s="49">
        <v>4</v>
      </c>
      <c r="D509" s="48"/>
      <c r="E509" s="48"/>
      <c r="F509" s="48"/>
      <c r="G509" s="48"/>
      <c r="H509" s="119"/>
      <c r="I509" s="48" t="s">
        <v>411</v>
      </c>
      <c r="J509" s="48" t="str">
        <f t="shared" si="17"/>
        <v>508_真南から東へ15度以上45度未満</v>
      </c>
      <c r="K509" s="48"/>
      <c r="L509" s="48"/>
    </row>
    <row r="510" spans="1:13" x14ac:dyDescent="0.4">
      <c r="A510" s="37" t="str">
        <f t="shared" si="16"/>
        <v>509</v>
      </c>
      <c r="B510" s="48" t="s">
        <v>139</v>
      </c>
      <c r="C510" s="49">
        <v>4</v>
      </c>
      <c r="D510" s="48"/>
      <c r="E510" s="48"/>
      <c r="F510" s="48"/>
      <c r="G510" s="48"/>
      <c r="H510" s="119"/>
      <c r="I510" s="48" t="s">
        <v>412</v>
      </c>
      <c r="J510" s="48" t="str">
        <f t="shared" si="17"/>
        <v>509_真南から東へ45度以上75度未満</v>
      </c>
      <c r="K510" s="48"/>
      <c r="L510" s="48"/>
    </row>
    <row r="511" spans="1:13" x14ac:dyDescent="0.4">
      <c r="A511" s="37" t="str">
        <f t="shared" si="16"/>
        <v>510</v>
      </c>
      <c r="B511" s="48" t="s">
        <v>139</v>
      </c>
      <c r="C511" s="49">
        <v>4</v>
      </c>
      <c r="D511" s="48"/>
      <c r="E511" s="48"/>
      <c r="F511" s="48"/>
      <c r="G511" s="48"/>
      <c r="H511" s="119"/>
      <c r="I511" s="48" t="s">
        <v>413</v>
      </c>
      <c r="J511" s="48" t="str">
        <f t="shared" si="17"/>
        <v>510_真南から東へ75度以上105度未満</v>
      </c>
      <c r="K511" s="48"/>
      <c r="L511" s="48"/>
    </row>
    <row r="512" spans="1:13" x14ac:dyDescent="0.4">
      <c r="A512" s="37" t="str">
        <f t="shared" si="16"/>
        <v>511</v>
      </c>
      <c r="B512" s="48" t="s">
        <v>139</v>
      </c>
      <c r="C512" s="49">
        <v>4</v>
      </c>
      <c r="D512" s="48"/>
      <c r="E512" s="48"/>
      <c r="F512" s="48"/>
      <c r="G512" s="48"/>
      <c r="H512" s="119"/>
      <c r="I512" s="48" t="s">
        <v>414</v>
      </c>
      <c r="J512" s="48" t="str">
        <f t="shared" si="17"/>
        <v>511_真南から東へ105度以上135度未満</v>
      </c>
      <c r="K512" s="48"/>
      <c r="L512" s="48"/>
    </row>
    <row r="513" spans="1:13" x14ac:dyDescent="0.4">
      <c r="A513" s="37" t="str">
        <f t="shared" si="16"/>
        <v>512</v>
      </c>
      <c r="B513" s="48" t="s">
        <v>139</v>
      </c>
      <c r="C513" s="49">
        <v>4</v>
      </c>
      <c r="D513" s="48"/>
      <c r="E513" s="48"/>
      <c r="F513" s="48"/>
      <c r="G513" s="48"/>
      <c r="H513" s="119"/>
      <c r="I513" s="48" t="s">
        <v>415</v>
      </c>
      <c r="J513" s="48" t="str">
        <f t="shared" si="17"/>
        <v>512_真南から東へ135度以上165度未満</v>
      </c>
      <c r="K513" s="48"/>
      <c r="L513" s="48"/>
    </row>
    <row r="514" spans="1:13" x14ac:dyDescent="0.4">
      <c r="A514" s="37" t="str">
        <f t="shared" si="16"/>
        <v>513</v>
      </c>
      <c r="B514" s="48" t="s">
        <v>139</v>
      </c>
      <c r="C514" s="49">
        <v>4</v>
      </c>
      <c r="D514" s="48"/>
      <c r="E514" s="48"/>
      <c r="F514" s="48"/>
      <c r="G514" s="48"/>
      <c r="H514" s="119"/>
      <c r="I514" s="48" t="s">
        <v>416</v>
      </c>
      <c r="J514" s="48" t="str">
        <f t="shared" si="17"/>
        <v>513_真南から東および西へ165度以上真北まで</v>
      </c>
      <c r="K514" s="48"/>
      <c r="L514" s="48"/>
    </row>
    <row r="515" spans="1:13" x14ac:dyDescent="0.4">
      <c r="A515" s="37" t="str">
        <f t="shared" si="16"/>
        <v>514</v>
      </c>
      <c r="B515" s="48" t="s">
        <v>139</v>
      </c>
      <c r="C515" s="49">
        <v>4</v>
      </c>
      <c r="D515" s="48"/>
      <c r="E515" s="48"/>
      <c r="F515" s="48"/>
      <c r="G515" s="48"/>
      <c r="H515" s="119"/>
      <c r="I515" s="48" t="s">
        <v>417</v>
      </c>
      <c r="J515" s="48" t="str">
        <f t="shared" si="17"/>
        <v>514_真南から西へ135度以上165度未満</v>
      </c>
      <c r="K515" s="48"/>
      <c r="L515" s="48"/>
    </row>
    <row r="516" spans="1:13" x14ac:dyDescent="0.4">
      <c r="A516" s="37" t="str">
        <f t="shared" si="16"/>
        <v>515</v>
      </c>
      <c r="B516" s="48" t="s">
        <v>139</v>
      </c>
      <c r="C516" s="49">
        <v>4</v>
      </c>
      <c r="D516" s="48"/>
      <c r="E516" s="48"/>
      <c r="F516" s="48"/>
      <c r="G516" s="48"/>
      <c r="H516" s="119"/>
      <c r="I516" s="48" t="s">
        <v>418</v>
      </c>
      <c r="J516" s="48" t="str">
        <f t="shared" si="17"/>
        <v>515_真南から西へ105度以上135度未満</v>
      </c>
      <c r="K516" s="48"/>
      <c r="L516" s="48"/>
    </row>
    <row r="517" spans="1:13" x14ac:dyDescent="0.4">
      <c r="A517" s="37" t="str">
        <f t="shared" si="16"/>
        <v>516</v>
      </c>
      <c r="B517" s="48" t="s">
        <v>139</v>
      </c>
      <c r="C517" s="49">
        <v>4</v>
      </c>
      <c r="D517" s="48"/>
      <c r="E517" s="48"/>
      <c r="F517" s="48"/>
      <c r="G517" s="48"/>
      <c r="H517" s="119"/>
      <c r="I517" s="48" t="s">
        <v>419</v>
      </c>
      <c r="J517" s="48" t="str">
        <f t="shared" si="17"/>
        <v>516_真南から西へ75度以上105度未満</v>
      </c>
      <c r="K517" s="48"/>
      <c r="L517" s="48"/>
    </row>
    <row r="518" spans="1:13" x14ac:dyDescent="0.4">
      <c r="A518" s="37" t="str">
        <f t="shared" si="16"/>
        <v>517</v>
      </c>
      <c r="B518" s="48" t="s">
        <v>139</v>
      </c>
      <c r="C518" s="49">
        <v>4</v>
      </c>
      <c r="D518" s="48"/>
      <c r="E518" s="48"/>
      <c r="F518" s="48"/>
      <c r="G518" s="48"/>
      <c r="H518" s="119"/>
      <c r="I518" s="48" t="s">
        <v>420</v>
      </c>
      <c r="J518" s="48" t="str">
        <f t="shared" si="17"/>
        <v>517_真南から西へ45度以上75度未満</v>
      </c>
      <c r="K518" s="48"/>
      <c r="L518" s="48"/>
    </row>
    <row r="519" spans="1:13" x14ac:dyDescent="0.4">
      <c r="A519" s="37" t="str">
        <f t="shared" si="16"/>
        <v>518</v>
      </c>
      <c r="B519" s="48" t="s">
        <v>139</v>
      </c>
      <c r="C519" s="49">
        <v>4</v>
      </c>
      <c r="D519" s="50"/>
      <c r="E519" s="50"/>
      <c r="F519" s="50"/>
      <c r="G519" s="50"/>
      <c r="H519" s="120"/>
      <c r="I519" s="50" t="s">
        <v>421</v>
      </c>
      <c r="J519" s="50" t="str">
        <f t="shared" si="17"/>
        <v>518_真南から西へ15度以上45度未満</v>
      </c>
      <c r="K519" s="50"/>
      <c r="L519" s="50"/>
    </row>
    <row r="520" spans="1:13" x14ac:dyDescent="0.4">
      <c r="A520" s="37" t="str">
        <f t="shared" si="16"/>
        <v>519</v>
      </c>
      <c r="B520" s="48" t="s">
        <v>139</v>
      </c>
      <c r="C520" s="49">
        <v>4</v>
      </c>
      <c r="D520" s="48" t="s">
        <v>490</v>
      </c>
      <c r="E520" s="48"/>
      <c r="F520" s="48"/>
      <c r="G520" s="48"/>
      <c r="H520" s="119"/>
      <c r="I520" s="48" t="s">
        <v>79</v>
      </c>
      <c r="J520" s="48" t="str">
        <f t="shared" si="17"/>
        <v>519_採用しない</v>
      </c>
      <c r="K520" s="48"/>
      <c r="L520" s="48"/>
      <c r="M520" s="36" t="str">
        <f>"太陽熱_"&amp;D520</f>
        <v>太陽熱_空気搬送ファンの自立運転用太陽光発電装置</v>
      </c>
    </row>
    <row r="521" spans="1:13" x14ac:dyDescent="0.4">
      <c r="A521" s="37" t="str">
        <f t="shared" si="16"/>
        <v>520</v>
      </c>
      <c r="B521" s="48" t="s">
        <v>139</v>
      </c>
      <c r="C521" s="49">
        <v>4</v>
      </c>
      <c r="D521" s="50"/>
      <c r="E521" s="50"/>
      <c r="F521" s="50"/>
      <c r="G521" s="50"/>
      <c r="H521" s="120"/>
      <c r="I521" s="50" t="s">
        <v>71</v>
      </c>
      <c r="J521" s="50" t="str">
        <f t="shared" si="17"/>
        <v>520_採用する</v>
      </c>
      <c r="K521" s="50"/>
      <c r="L521" s="50"/>
    </row>
    <row r="522" spans="1:13" x14ac:dyDescent="0.4">
      <c r="A522" s="37" t="str">
        <f t="shared" si="16"/>
        <v>521</v>
      </c>
      <c r="B522" s="48" t="s">
        <v>139</v>
      </c>
      <c r="C522" s="49">
        <v>4</v>
      </c>
      <c r="D522" s="48" t="s">
        <v>491</v>
      </c>
      <c r="E522" s="48"/>
      <c r="F522" s="48"/>
      <c r="G522" s="48"/>
      <c r="H522" s="119"/>
      <c r="I522" s="48" t="s">
        <v>492</v>
      </c>
      <c r="J522" s="48" t="str">
        <f t="shared" si="17"/>
        <v>521_ACファン</v>
      </c>
      <c r="K522" s="48"/>
      <c r="L522" s="48"/>
      <c r="M522" s="36" t="str">
        <f>"太陽熱_"&amp;D522</f>
        <v>太陽熱_空気搬送ファンの種別</v>
      </c>
    </row>
    <row r="523" spans="1:13" x14ac:dyDescent="0.4">
      <c r="A523" s="37" t="str">
        <f t="shared" si="16"/>
        <v>522</v>
      </c>
      <c r="B523" s="48" t="s">
        <v>139</v>
      </c>
      <c r="C523" s="49">
        <v>4</v>
      </c>
      <c r="D523" s="50"/>
      <c r="E523" s="50"/>
      <c r="F523" s="50"/>
      <c r="G523" s="50"/>
      <c r="H523" s="120"/>
      <c r="I523" s="50" t="s">
        <v>493</v>
      </c>
      <c r="J523" s="50" t="str">
        <f t="shared" si="17"/>
        <v>522_DCファン</v>
      </c>
      <c r="K523" s="50"/>
      <c r="L523" s="50"/>
    </row>
    <row r="524" spans="1:13" x14ac:dyDescent="0.4">
      <c r="A524" s="37" t="str">
        <f t="shared" si="16"/>
        <v>523</v>
      </c>
      <c r="B524" s="48" t="s">
        <v>139</v>
      </c>
      <c r="C524" s="49">
        <v>4</v>
      </c>
      <c r="D524" s="50" t="s">
        <v>494</v>
      </c>
      <c r="E524" s="50"/>
      <c r="F524" s="50"/>
      <c r="G524" s="50"/>
      <c r="H524" s="120"/>
      <c r="I524" s="50"/>
      <c r="J524" s="50" t="str">
        <f t="shared" si="17"/>
        <v>523_</v>
      </c>
      <c r="K524" s="50"/>
      <c r="L524" s="50"/>
      <c r="M524" s="36" t="str">
        <f>"太陽熱_"&amp;D524</f>
        <v>太陽熱_機外静圧をゼロとした時の空気搬送ファンの風量</v>
      </c>
    </row>
    <row r="525" spans="1:13" x14ac:dyDescent="0.4">
      <c r="A525" s="37" t="str">
        <f t="shared" si="16"/>
        <v>524</v>
      </c>
      <c r="B525" s="48" t="s">
        <v>139</v>
      </c>
      <c r="C525" s="49">
        <v>4</v>
      </c>
      <c r="D525" s="48" t="s">
        <v>495</v>
      </c>
      <c r="E525" s="48"/>
      <c r="F525" s="48"/>
      <c r="G525" s="48"/>
      <c r="H525" s="119"/>
      <c r="I525" s="48" t="s">
        <v>496</v>
      </c>
      <c r="J525" s="48" t="str">
        <f t="shared" si="17"/>
        <v>524_利用しない</v>
      </c>
      <c r="K525" s="48"/>
      <c r="L525" s="48"/>
      <c r="M525" s="36" t="str">
        <f>"太陽熱_"&amp;D525</f>
        <v>太陽熱_集熱した熱の給湯への利用</v>
      </c>
    </row>
    <row r="526" spans="1:13" x14ac:dyDescent="0.4">
      <c r="A526" s="37" t="str">
        <f t="shared" si="16"/>
        <v>525</v>
      </c>
      <c r="B526" s="48" t="s">
        <v>139</v>
      </c>
      <c r="C526" s="49">
        <v>4</v>
      </c>
      <c r="D526" s="50"/>
      <c r="E526" s="50"/>
      <c r="F526" s="50"/>
      <c r="G526" s="50"/>
      <c r="H526" s="120"/>
      <c r="I526" s="50" t="s">
        <v>152</v>
      </c>
      <c r="J526" s="50" t="str">
        <f t="shared" si="17"/>
        <v>525_利用する</v>
      </c>
      <c r="K526" s="50"/>
      <c r="L526" s="50"/>
    </row>
    <row r="527" spans="1:13" x14ac:dyDescent="0.4">
      <c r="A527" s="37" t="str">
        <f t="shared" si="16"/>
        <v>526</v>
      </c>
      <c r="B527" s="48" t="s">
        <v>139</v>
      </c>
      <c r="C527" s="49">
        <v>4</v>
      </c>
      <c r="D527" s="48" t="s">
        <v>501</v>
      </c>
      <c r="E527" s="48"/>
      <c r="F527" s="48"/>
      <c r="G527" s="48"/>
      <c r="H527" s="119"/>
      <c r="I527" s="48" t="s">
        <v>79</v>
      </c>
      <c r="J527" s="48" t="str">
        <f t="shared" si="17"/>
        <v>526_採用しない</v>
      </c>
      <c r="K527" s="48"/>
      <c r="L527" s="48"/>
      <c r="M527" s="36" t="str">
        <f>"太陽熱_"&amp;D527</f>
        <v>太陽熱_循環ポンプの自立運転用太陽光発電装置</v>
      </c>
    </row>
    <row r="528" spans="1:13" x14ac:dyDescent="0.4">
      <c r="A528" s="37" t="str">
        <f t="shared" si="16"/>
        <v>527</v>
      </c>
      <c r="B528" s="48" t="s">
        <v>139</v>
      </c>
      <c r="C528" s="49">
        <v>4</v>
      </c>
      <c r="D528" s="50"/>
      <c r="E528" s="50"/>
      <c r="F528" s="50"/>
      <c r="G528" s="50"/>
      <c r="H528" s="120"/>
      <c r="I528" s="50" t="s">
        <v>71</v>
      </c>
      <c r="J528" s="50" t="str">
        <f t="shared" si="17"/>
        <v>527_採用する</v>
      </c>
      <c r="K528" s="50"/>
      <c r="L528" s="50"/>
    </row>
    <row r="529" spans="1:13" x14ac:dyDescent="0.4">
      <c r="A529" s="37" t="str">
        <f t="shared" si="16"/>
        <v>528</v>
      </c>
      <c r="B529" s="48" t="s">
        <v>139</v>
      </c>
      <c r="C529" s="49">
        <v>4</v>
      </c>
      <c r="D529" s="50" t="s">
        <v>502</v>
      </c>
      <c r="E529" s="50"/>
      <c r="F529" s="50"/>
      <c r="G529" s="50"/>
      <c r="H529" s="120"/>
      <c r="I529" s="50"/>
      <c r="J529" s="50" t="str">
        <f t="shared" si="17"/>
        <v>528_</v>
      </c>
      <c r="K529" s="50"/>
      <c r="L529" s="50"/>
      <c r="M529" s="36" t="str">
        <f>"太陽熱_"&amp;D529</f>
        <v>太陽熱_給湯部のタンク容量</v>
      </c>
    </row>
    <row r="530" spans="1:13" x14ac:dyDescent="0.4">
      <c r="A530" s="37" t="str">
        <f t="shared" si="16"/>
        <v>529</v>
      </c>
      <c r="B530" s="48" t="s">
        <v>139</v>
      </c>
      <c r="C530" s="49">
        <v>4</v>
      </c>
      <c r="D530" s="48" t="s">
        <v>497</v>
      </c>
      <c r="E530" s="48"/>
      <c r="F530" s="48"/>
      <c r="G530" s="48"/>
      <c r="H530" s="119"/>
      <c r="I530" s="48" t="s">
        <v>498</v>
      </c>
      <c r="J530" s="48" t="str">
        <f t="shared" si="17"/>
        <v>529_床下空間</v>
      </c>
      <c r="K530" s="48"/>
      <c r="L530" s="48"/>
      <c r="M530" s="36" t="str">
        <f>"太陽熱_"&amp;D530</f>
        <v>太陽熱_集熱後の空気を供給する空間</v>
      </c>
    </row>
    <row r="531" spans="1:13" x14ac:dyDescent="0.4">
      <c r="A531" s="37" t="str">
        <f t="shared" si="16"/>
        <v>530</v>
      </c>
      <c r="B531" s="48" t="s">
        <v>139</v>
      </c>
      <c r="C531" s="49">
        <v>4</v>
      </c>
      <c r="D531" s="50"/>
      <c r="E531" s="50"/>
      <c r="F531" s="50"/>
      <c r="G531" s="50"/>
      <c r="H531" s="120"/>
      <c r="I531" s="50" t="s">
        <v>499</v>
      </c>
      <c r="J531" s="50" t="str">
        <f t="shared" si="17"/>
        <v>530_床下空間以外の室内空間</v>
      </c>
      <c r="K531" s="50"/>
      <c r="L531" s="50"/>
    </row>
    <row r="532" spans="1:13" x14ac:dyDescent="0.4">
      <c r="A532" s="37" t="str">
        <f t="shared" si="16"/>
        <v>531</v>
      </c>
      <c r="B532" s="48" t="s">
        <v>139</v>
      </c>
      <c r="C532" s="49">
        <v>4</v>
      </c>
      <c r="D532" s="50" t="s">
        <v>500</v>
      </c>
      <c r="E532" s="50"/>
      <c r="F532" s="50"/>
      <c r="G532" s="50"/>
      <c r="H532" s="120"/>
      <c r="I532" s="50"/>
      <c r="J532" s="50" t="str">
        <f t="shared" si="17"/>
        <v>531_</v>
      </c>
      <c r="K532" s="50"/>
      <c r="L532" s="50"/>
      <c r="M532" s="36" t="str">
        <f>"太陽熱_"&amp;D532</f>
        <v>太陽熱_集熱後の空気を供給する床下の面積の割合</v>
      </c>
    </row>
    <row r="533" spans="1:13" x14ac:dyDescent="0.4">
      <c r="A533" s="37" t="str">
        <f t="shared" si="16"/>
        <v>532</v>
      </c>
      <c r="B533" s="48" t="s">
        <v>139</v>
      </c>
      <c r="C533" s="49">
        <v>4</v>
      </c>
      <c r="D533" s="48" t="s">
        <v>720</v>
      </c>
      <c r="E533" s="48"/>
      <c r="F533" s="48"/>
      <c r="G533" s="48"/>
      <c r="H533" s="119"/>
      <c r="I533" s="48" t="s">
        <v>46</v>
      </c>
      <c r="J533" s="48" t="str">
        <f t="shared" si="17"/>
        <v>532_断熱区画外</v>
      </c>
      <c r="K533" s="48"/>
      <c r="L533" s="48"/>
      <c r="M533" s="36" t="str">
        <f>"太陽熱_"&amp;D533</f>
        <v>太陽熱_床下空間の断熱_太陽熱</v>
      </c>
    </row>
    <row r="534" spans="1:13" x14ac:dyDescent="0.4">
      <c r="A534" s="37" t="str">
        <f t="shared" si="16"/>
        <v>533</v>
      </c>
      <c r="B534" s="48" t="s">
        <v>139</v>
      </c>
      <c r="C534" s="51">
        <v>4</v>
      </c>
      <c r="D534" s="50"/>
      <c r="E534" s="50"/>
      <c r="F534" s="50"/>
      <c r="G534" s="50"/>
      <c r="H534" s="120"/>
      <c r="I534" s="50" t="s">
        <v>47</v>
      </c>
      <c r="J534" s="50" t="str">
        <f t="shared" si="17"/>
        <v>533_断熱区画内</v>
      </c>
      <c r="K534" s="50"/>
      <c r="L534" s="50"/>
    </row>
    <row r="535" spans="1:13" x14ac:dyDescent="0.4">
      <c r="A535" s="37" t="str">
        <f t="shared" si="16"/>
        <v>534</v>
      </c>
      <c r="B535" s="48" t="s">
        <v>139</v>
      </c>
      <c r="C535" s="49">
        <v>5</v>
      </c>
      <c r="D535" s="50" t="s">
        <v>508</v>
      </c>
      <c r="E535" s="50"/>
      <c r="F535" s="50"/>
      <c r="G535" s="50"/>
      <c r="H535" s="120"/>
      <c r="I535" s="50"/>
      <c r="J535" s="50" t="str">
        <f t="shared" si="17"/>
        <v>534_</v>
      </c>
      <c r="K535" s="50"/>
      <c r="L535" s="50"/>
      <c r="M535" s="36" t="str">
        <f>"太陽熱_"&amp;D535</f>
        <v>太陽熱_集熱器群の面積_集熱器群その1</v>
      </c>
    </row>
    <row r="536" spans="1:13" x14ac:dyDescent="0.4">
      <c r="A536" s="37" t="str">
        <f t="shared" si="16"/>
        <v>535</v>
      </c>
      <c r="B536" s="48" t="s">
        <v>139</v>
      </c>
      <c r="C536" s="49">
        <v>5</v>
      </c>
      <c r="D536" s="48" t="s">
        <v>510</v>
      </c>
      <c r="E536" s="48"/>
      <c r="F536" s="48"/>
      <c r="G536" s="48"/>
      <c r="H536" s="119"/>
      <c r="I536" s="48" t="s">
        <v>422</v>
      </c>
      <c r="J536" s="48" t="str">
        <f t="shared" si="17"/>
        <v>535_0度（水平）</v>
      </c>
      <c r="K536" s="48"/>
      <c r="L536" s="48"/>
      <c r="M536" s="36" t="str">
        <f>"太陽熱_"&amp;D536</f>
        <v>太陽熱_集熱器群の傾斜角_集熱器群その1</v>
      </c>
    </row>
    <row r="537" spans="1:13" x14ac:dyDescent="0.4">
      <c r="A537" s="37" t="str">
        <f t="shared" si="16"/>
        <v>536</v>
      </c>
      <c r="B537" s="48" t="s">
        <v>139</v>
      </c>
      <c r="C537" s="49">
        <v>5</v>
      </c>
      <c r="D537" s="48"/>
      <c r="E537" s="48"/>
      <c r="F537" s="48"/>
      <c r="G537" s="48"/>
      <c r="H537" s="119"/>
      <c r="I537" s="48" t="s">
        <v>423</v>
      </c>
      <c r="J537" s="48" t="str">
        <f t="shared" si="17"/>
        <v>536_10度</v>
      </c>
      <c r="K537" s="48"/>
      <c r="L537" s="48"/>
    </row>
    <row r="538" spans="1:13" x14ac:dyDescent="0.4">
      <c r="A538" s="37" t="str">
        <f t="shared" si="16"/>
        <v>537</v>
      </c>
      <c r="B538" s="48" t="s">
        <v>139</v>
      </c>
      <c r="C538" s="49">
        <v>5</v>
      </c>
      <c r="D538" s="48"/>
      <c r="E538" s="48"/>
      <c r="F538" s="48"/>
      <c r="G538" s="48"/>
      <c r="H538" s="119"/>
      <c r="I538" s="48" t="s">
        <v>424</v>
      </c>
      <c r="J538" s="48" t="str">
        <f t="shared" si="17"/>
        <v>537_20度</v>
      </c>
      <c r="K538" s="48"/>
      <c r="L538" s="48"/>
    </row>
    <row r="539" spans="1:13" x14ac:dyDescent="0.4">
      <c r="A539" s="37" t="str">
        <f t="shared" si="16"/>
        <v>538</v>
      </c>
      <c r="B539" s="48" t="s">
        <v>139</v>
      </c>
      <c r="C539" s="49">
        <v>5</v>
      </c>
      <c r="D539" s="48"/>
      <c r="E539" s="48"/>
      <c r="F539" s="48"/>
      <c r="G539" s="48"/>
      <c r="H539" s="119"/>
      <c r="I539" s="48" t="s">
        <v>425</v>
      </c>
      <c r="J539" s="48" t="str">
        <f t="shared" si="17"/>
        <v>538_30度</v>
      </c>
      <c r="K539" s="48"/>
      <c r="L539" s="48"/>
    </row>
    <row r="540" spans="1:13" x14ac:dyDescent="0.4">
      <c r="A540" s="37" t="str">
        <f t="shared" si="16"/>
        <v>539</v>
      </c>
      <c r="B540" s="48" t="s">
        <v>139</v>
      </c>
      <c r="C540" s="49">
        <v>5</v>
      </c>
      <c r="D540" s="48"/>
      <c r="E540" s="48"/>
      <c r="F540" s="48"/>
      <c r="G540" s="48"/>
      <c r="H540" s="119"/>
      <c r="I540" s="48" t="s">
        <v>426</v>
      </c>
      <c r="J540" s="48" t="str">
        <f t="shared" si="17"/>
        <v>539_40度</v>
      </c>
      <c r="K540" s="48"/>
      <c r="L540" s="48"/>
    </row>
    <row r="541" spans="1:13" x14ac:dyDescent="0.4">
      <c r="A541" s="37" t="str">
        <f t="shared" si="16"/>
        <v>540</v>
      </c>
      <c r="B541" s="48" t="s">
        <v>139</v>
      </c>
      <c r="C541" s="49">
        <v>5</v>
      </c>
      <c r="D541" s="48"/>
      <c r="E541" s="48"/>
      <c r="F541" s="48"/>
      <c r="G541" s="48"/>
      <c r="H541" s="119"/>
      <c r="I541" s="48" t="s">
        <v>427</v>
      </c>
      <c r="J541" s="48" t="str">
        <f t="shared" si="17"/>
        <v>540_50度</v>
      </c>
      <c r="K541" s="48"/>
      <c r="L541" s="48"/>
    </row>
    <row r="542" spans="1:13" x14ac:dyDescent="0.4">
      <c r="A542" s="37" t="str">
        <f t="shared" si="16"/>
        <v>541</v>
      </c>
      <c r="B542" s="48" t="s">
        <v>139</v>
      </c>
      <c r="C542" s="49">
        <v>5</v>
      </c>
      <c r="D542" s="48"/>
      <c r="E542" s="48"/>
      <c r="F542" s="48"/>
      <c r="G542" s="48"/>
      <c r="H542" s="119"/>
      <c r="I542" s="48" t="s">
        <v>428</v>
      </c>
      <c r="J542" s="48" t="str">
        <f t="shared" si="17"/>
        <v>541_60度</v>
      </c>
      <c r="K542" s="48"/>
      <c r="L542" s="48"/>
    </row>
    <row r="543" spans="1:13" x14ac:dyDescent="0.4">
      <c r="A543" s="37" t="str">
        <f t="shared" si="16"/>
        <v>542</v>
      </c>
      <c r="B543" s="48" t="s">
        <v>139</v>
      </c>
      <c r="C543" s="49">
        <v>5</v>
      </c>
      <c r="D543" s="48"/>
      <c r="E543" s="48"/>
      <c r="F543" s="48"/>
      <c r="G543" s="48"/>
      <c r="H543" s="119"/>
      <c r="I543" s="48" t="s">
        <v>429</v>
      </c>
      <c r="J543" s="48" t="str">
        <f t="shared" si="17"/>
        <v>542_70度</v>
      </c>
      <c r="K543" s="48"/>
      <c r="L543" s="48"/>
    </row>
    <row r="544" spans="1:13" x14ac:dyDescent="0.4">
      <c r="A544" s="37" t="str">
        <f t="shared" si="16"/>
        <v>543</v>
      </c>
      <c r="B544" s="48" t="s">
        <v>139</v>
      </c>
      <c r="C544" s="49">
        <v>5</v>
      </c>
      <c r="D544" s="48"/>
      <c r="E544" s="48"/>
      <c r="F544" s="48"/>
      <c r="G544" s="48"/>
      <c r="H544" s="119"/>
      <c r="I544" s="48" t="s">
        <v>430</v>
      </c>
      <c r="J544" s="48" t="str">
        <f t="shared" si="17"/>
        <v>543_80度</v>
      </c>
      <c r="K544" s="48"/>
      <c r="L544" s="48"/>
    </row>
    <row r="545" spans="1:13" x14ac:dyDescent="0.4">
      <c r="A545" s="37" t="str">
        <f t="shared" si="16"/>
        <v>544</v>
      </c>
      <c r="B545" s="48" t="s">
        <v>139</v>
      </c>
      <c r="C545" s="49">
        <v>5</v>
      </c>
      <c r="D545" s="50"/>
      <c r="E545" s="50"/>
      <c r="F545" s="50"/>
      <c r="G545" s="50"/>
      <c r="H545" s="120"/>
      <c r="I545" s="50" t="s">
        <v>431</v>
      </c>
      <c r="J545" s="50" t="str">
        <f t="shared" si="17"/>
        <v>544_90度（鉛直）</v>
      </c>
      <c r="K545" s="50"/>
      <c r="L545" s="50"/>
    </row>
    <row r="546" spans="1:13" x14ac:dyDescent="0.4">
      <c r="A546" s="37" t="str">
        <f t="shared" si="16"/>
        <v>545</v>
      </c>
      <c r="B546" s="48" t="s">
        <v>139</v>
      </c>
      <c r="C546" s="49">
        <v>5</v>
      </c>
      <c r="D546" s="48" t="s">
        <v>512</v>
      </c>
      <c r="E546" s="48"/>
      <c r="F546" s="48"/>
      <c r="G546" s="48"/>
      <c r="H546" s="119"/>
      <c r="I546" s="48" t="s">
        <v>54</v>
      </c>
      <c r="J546" s="48" t="str">
        <f t="shared" si="17"/>
        <v>545_入力しない（規定値を用いる）</v>
      </c>
      <c r="K546" s="48"/>
      <c r="L546" s="48"/>
      <c r="M546" s="36" t="str">
        <f>"太陽熱_"&amp;D546</f>
        <v>太陽熱_集熱器群の仕様の入力_集熱器群その1</v>
      </c>
    </row>
    <row r="547" spans="1:13" x14ac:dyDescent="0.4">
      <c r="A547" s="37" t="str">
        <f t="shared" si="16"/>
        <v>546</v>
      </c>
      <c r="B547" s="48" t="s">
        <v>139</v>
      </c>
      <c r="C547" s="49">
        <v>5</v>
      </c>
      <c r="D547" s="50"/>
      <c r="E547" s="50"/>
      <c r="F547" s="50"/>
      <c r="G547" s="50"/>
      <c r="H547" s="120"/>
      <c r="I547" s="50" t="s">
        <v>55</v>
      </c>
      <c r="J547" s="50" t="str">
        <f t="shared" si="17"/>
        <v>546_入力する</v>
      </c>
      <c r="K547" s="50"/>
      <c r="L547" s="50"/>
    </row>
    <row r="548" spans="1:13" x14ac:dyDescent="0.4">
      <c r="A548" s="37" t="str">
        <f t="shared" si="16"/>
        <v>547</v>
      </c>
      <c r="B548" s="48" t="s">
        <v>139</v>
      </c>
      <c r="C548" s="49">
        <v>5</v>
      </c>
      <c r="D548" s="48" t="s">
        <v>514</v>
      </c>
      <c r="E548" s="48"/>
      <c r="F548" s="48"/>
      <c r="G548" s="48"/>
      <c r="H548" s="119"/>
      <c r="I548" s="69">
        <v>0.1</v>
      </c>
      <c r="J548" s="69" t="str">
        <f t="shared" si="17"/>
        <v>547_0.1</v>
      </c>
      <c r="K548" s="69"/>
      <c r="L548" s="69"/>
      <c r="M548" s="36" t="str">
        <f>"太陽熱_"&amp;D548</f>
        <v>太陽熱_集熱器の集熱効率特性線図一次近似式の切片_集熱器群その1</v>
      </c>
    </row>
    <row r="549" spans="1:13" x14ac:dyDescent="0.4">
      <c r="A549" s="37" t="str">
        <f t="shared" si="16"/>
        <v>548</v>
      </c>
      <c r="B549" s="48" t="s">
        <v>139</v>
      </c>
      <c r="C549" s="49">
        <v>5</v>
      </c>
      <c r="D549" s="48" t="s">
        <v>515</v>
      </c>
      <c r="E549" s="48"/>
      <c r="F549" s="48"/>
      <c r="G549" s="48"/>
      <c r="H549" s="119"/>
      <c r="I549" s="69" t="s">
        <v>503</v>
      </c>
      <c r="J549" s="69" t="str">
        <f t="shared" si="17"/>
        <v>548_2.0</v>
      </c>
      <c r="K549" s="69"/>
      <c r="L549" s="69"/>
      <c r="M549" s="36" t="str">
        <f>"太陽熱_"&amp;D549</f>
        <v>太陽熱_集熱器の集熱効率特性線図一次近似式の傾き_集熱器群その1</v>
      </c>
    </row>
    <row r="550" spans="1:13" x14ac:dyDescent="0.4">
      <c r="A550" s="37" t="str">
        <f t="shared" si="16"/>
        <v>549</v>
      </c>
      <c r="B550" s="48" t="s">
        <v>139</v>
      </c>
      <c r="C550" s="51">
        <v>5</v>
      </c>
      <c r="D550" s="50" t="s">
        <v>517</v>
      </c>
      <c r="E550" s="50"/>
      <c r="F550" s="50"/>
      <c r="G550" s="50"/>
      <c r="H550" s="120"/>
      <c r="I550" s="70" t="s">
        <v>505</v>
      </c>
      <c r="J550" s="70" t="str">
        <f t="shared" si="17"/>
        <v>549_0.0107</v>
      </c>
      <c r="K550" s="70"/>
      <c r="L550" s="70"/>
      <c r="M550" s="36" t="str">
        <f>"太陽熱_"&amp;D550</f>
        <v>太陽熱_集熱器の集熱性能試験時における単位面積当たりの空気の質量流量_集熱器群その1</v>
      </c>
    </row>
    <row r="551" spans="1:13" x14ac:dyDescent="0.4">
      <c r="A551" s="37" t="str">
        <f t="shared" si="16"/>
        <v>550</v>
      </c>
      <c r="B551" s="48" t="s">
        <v>139</v>
      </c>
      <c r="C551" s="49">
        <v>6</v>
      </c>
      <c r="D551" s="52" t="s">
        <v>519</v>
      </c>
      <c r="E551" s="52"/>
      <c r="F551" s="52"/>
      <c r="G551" s="52"/>
      <c r="H551" s="121"/>
      <c r="I551" s="52"/>
      <c r="J551" s="52" t="str">
        <f t="shared" si="17"/>
        <v>550_</v>
      </c>
      <c r="K551" s="48"/>
      <c r="L551" s="48"/>
      <c r="M551" s="36" t="str">
        <f>"太陽熱_"&amp;D551</f>
        <v>太陽熱_集熱器群の面積_集熱器群その2</v>
      </c>
    </row>
    <row r="552" spans="1:13" x14ac:dyDescent="0.4">
      <c r="A552" s="37" t="str">
        <f t="shared" si="16"/>
        <v>551</v>
      </c>
      <c r="B552" s="48" t="s">
        <v>139</v>
      </c>
      <c r="C552" s="49">
        <v>6</v>
      </c>
      <c r="D552" s="48" t="s">
        <v>521</v>
      </c>
      <c r="E552" s="48"/>
      <c r="F552" s="48"/>
      <c r="G552" s="48"/>
      <c r="H552" s="119"/>
      <c r="I552" s="48" t="s">
        <v>422</v>
      </c>
      <c r="J552" s="48" t="str">
        <f t="shared" si="17"/>
        <v>551_0度（水平）</v>
      </c>
      <c r="K552" s="48"/>
      <c r="L552" s="48"/>
      <c r="M552" s="36" t="str">
        <f>"太陽熱_"&amp;D552</f>
        <v>太陽熱_集熱器群の傾斜角_集熱器群その2</v>
      </c>
    </row>
    <row r="553" spans="1:13" x14ac:dyDescent="0.4">
      <c r="A553" s="37" t="str">
        <f t="shared" si="16"/>
        <v>552</v>
      </c>
      <c r="B553" s="48" t="s">
        <v>139</v>
      </c>
      <c r="C553" s="49">
        <v>6</v>
      </c>
      <c r="D553" s="48"/>
      <c r="E553" s="48"/>
      <c r="F553" s="48"/>
      <c r="G553" s="48"/>
      <c r="H553" s="119"/>
      <c r="I553" s="48" t="s">
        <v>423</v>
      </c>
      <c r="J553" s="48" t="str">
        <f t="shared" si="17"/>
        <v>552_10度</v>
      </c>
      <c r="K553" s="48"/>
      <c r="L553" s="48"/>
    </row>
    <row r="554" spans="1:13" x14ac:dyDescent="0.4">
      <c r="A554" s="37" t="str">
        <f t="shared" si="16"/>
        <v>553</v>
      </c>
      <c r="B554" s="48" t="s">
        <v>139</v>
      </c>
      <c r="C554" s="49">
        <v>6</v>
      </c>
      <c r="D554" s="48"/>
      <c r="E554" s="48"/>
      <c r="F554" s="48"/>
      <c r="G554" s="48"/>
      <c r="H554" s="119"/>
      <c r="I554" s="48" t="s">
        <v>424</v>
      </c>
      <c r="J554" s="48" t="str">
        <f t="shared" si="17"/>
        <v>553_20度</v>
      </c>
      <c r="K554" s="48"/>
      <c r="L554" s="48"/>
    </row>
    <row r="555" spans="1:13" x14ac:dyDescent="0.4">
      <c r="A555" s="37" t="str">
        <f t="shared" si="16"/>
        <v>554</v>
      </c>
      <c r="B555" s="48" t="s">
        <v>139</v>
      </c>
      <c r="C555" s="49">
        <v>6</v>
      </c>
      <c r="D555" s="48"/>
      <c r="E555" s="48"/>
      <c r="F555" s="48"/>
      <c r="G555" s="48"/>
      <c r="H555" s="119"/>
      <c r="I555" s="48" t="s">
        <v>425</v>
      </c>
      <c r="J555" s="48" t="str">
        <f t="shared" si="17"/>
        <v>554_30度</v>
      </c>
      <c r="K555" s="48"/>
      <c r="L555" s="48"/>
    </row>
    <row r="556" spans="1:13" x14ac:dyDescent="0.4">
      <c r="A556" s="37" t="str">
        <f t="shared" si="16"/>
        <v>555</v>
      </c>
      <c r="B556" s="48" t="s">
        <v>139</v>
      </c>
      <c r="C556" s="49">
        <v>6</v>
      </c>
      <c r="D556" s="48"/>
      <c r="E556" s="48"/>
      <c r="F556" s="48"/>
      <c r="G556" s="48"/>
      <c r="H556" s="119"/>
      <c r="I556" s="48" t="s">
        <v>426</v>
      </c>
      <c r="J556" s="48" t="str">
        <f t="shared" si="17"/>
        <v>555_40度</v>
      </c>
      <c r="K556" s="48"/>
      <c r="L556" s="48"/>
    </row>
    <row r="557" spans="1:13" x14ac:dyDescent="0.4">
      <c r="A557" s="37" t="str">
        <f t="shared" si="16"/>
        <v>556</v>
      </c>
      <c r="B557" s="48" t="s">
        <v>139</v>
      </c>
      <c r="C557" s="49">
        <v>6</v>
      </c>
      <c r="D557" s="48"/>
      <c r="E557" s="48"/>
      <c r="F557" s="48"/>
      <c r="G557" s="48"/>
      <c r="H557" s="119"/>
      <c r="I557" s="48" t="s">
        <v>427</v>
      </c>
      <c r="J557" s="48" t="str">
        <f t="shared" si="17"/>
        <v>556_50度</v>
      </c>
      <c r="K557" s="48"/>
      <c r="L557" s="48"/>
    </row>
    <row r="558" spans="1:13" x14ac:dyDescent="0.4">
      <c r="A558" s="37" t="str">
        <f t="shared" si="16"/>
        <v>557</v>
      </c>
      <c r="B558" s="48" t="s">
        <v>139</v>
      </c>
      <c r="C558" s="49">
        <v>6</v>
      </c>
      <c r="D558" s="48"/>
      <c r="E558" s="48"/>
      <c r="F558" s="48"/>
      <c r="G558" s="48"/>
      <c r="H558" s="119"/>
      <c r="I558" s="48" t="s">
        <v>428</v>
      </c>
      <c r="J558" s="48" t="str">
        <f t="shared" si="17"/>
        <v>557_60度</v>
      </c>
      <c r="K558" s="48"/>
      <c r="L558" s="48"/>
    </row>
    <row r="559" spans="1:13" x14ac:dyDescent="0.4">
      <c r="A559" s="37" t="str">
        <f t="shared" si="16"/>
        <v>558</v>
      </c>
      <c r="B559" s="48" t="s">
        <v>139</v>
      </c>
      <c r="C559" s="49">
        <v>6</v>
      </c>
      <c r="D559" s="48"/>
      <c r="E559" s="48"/>
      <c r="F559" s="48"/>
      <c r="G559" s="48"/>
      <c r="H559" s="119"/>
      <c r="I559" s="48" t="s">
        <v>429</v>
      </c>
      <c r="J559" s="48" t="str">
        <f t="shared" si="17"/>
        <v>558_70度</v>
      </c>
      <c r="K559" s="48"/>
      <c r="L559" s="48"/>
    </row>
    <row r="560" spans="1:13" x14ac:dyDescent="0.4">
      <c r="A560" s="37" t="str">
        <f t="shared" si="16"/>
        <v>559</v>
      </c>
      <c r="B560" s="48" t="s">
        <v>139</v>
      </c>
      <c r="C560" s="49">
        <v>6</v>
      </c>
      <c r="D560" s="48"/>
      <c r="E560" s="48"/>
      <c r="F560" s="48"/>
      <c r="G560" s="48"/>
      <c r="H560" s="119"/>
      <c r="I560" s="48" t="s">
        <v>430</v>
      </c>
      <c r="J560" s="48" t="str">
        <f t="shared" si="17"/>
        <v>559_80度</v>
      </c>
      <c r="K560" s="48"/>
      <c r="L560" s="48"/>
    </row>
    <row r="561" spans="1:13" x14ac:dyDescent="0.4">
      <c r="A561" s="37" t="str">
        <f t="shared" si="16"/>
        <v>560</v>
      </c>
      <c r="B561" s="48" t="s">
        <v>139</v>
      </c>
      <c r="C561" s="49">
        <v>6</v>
      </c>
      <c r="D561" s="50"/>
      <c r="E561" s="50"/>
      <c r="F561" s="50"/>
      <c r="G561" s="50"/>
      <c r="H561" s="120"/>
      <c r="I561" s="50" t="s">
        <v>431</v>
      </c>
      <c r="J561" s="50" t="str">
        <f t="shared" si="17"/>
        <v>560_90度（鉛直）</v>
      </c>
      <c r="K561" s="48"/>
      <c r="L561" s="48"/>
    </row>
    <row r="562" spans="1:13" x14ac:dyDescent="0.4">
      <c r="A562" s="37" t="str">
        <f t="shared" ref="A562:A625" si="18">TEXT(ROW()-1,"000")</f>
        <v>561</v>
      </c>
      <c r="B562" s="48" t="s">
        <v>139</v>
      </c>
      <c r="C562" s="49">
        <v>6</v>
      </c>
      <c r="D562" s="48" t="s">
        <v>523</v>
      </c>
      <c r="E562" s="48"/>
      <c r="F562" s="48"/>
      <c r="G562" s="48"/>
      <c r="H562" s="119"/>
      <c r="I562" s="48" t="s">
        <v>54</v>
      </c>
      <c r="J562" s="48" t="str">
        <f t="shared" si="17"/>
        <v>561_入力しない（規定値を用いる）</v>
      </c>
      <c r="K562" s="48"/>
      <c r="L562" s="48"/>
      <c r="M562" s="36" t="str">
        <f>"太陽熱_"&amp;D562</f>
        <v>太陽熱_集熱器群の仕様の入力_集熱器群その2</v>
      </c>
    </row>
    <row r="563" spans="1:13" x14ac:dyDescent="0.4">
      <c r="A563" s="37" t="str">
        <f t="shared" si="18"/>
        <v>562</v>
      </c>
      <c r="B563" s="48" t="s">
        <v>139</v>
      </c>
      <c r="C563" s="49">
        <v>6</v>
      </c>
      <c r="D563" s="50"/>
      <c r="E563" s="50"/>
      <c r="F563" s="50"/>
      <c r="G563" s="50"/>
      <c r="H563" s="120"/>
      <c r="I563" s="50" t="s">
        <v>55</v>
      </c>
      <c r="J563" s="50" t="str">
        <f t="shared" si="17"/>
        <v>562_入力する</v>
      </c>
      <c r="K563" s="48"/>
      <c r="L563" s="48"/>
    </row>
    <row r="564" spans="1:13" x14ac:dyDescent="0.4">
      <c r="A564" s="37" t="str">
        <f t="shared" si="18"/>
        <v>563</v>
      </c>
      <c r="B564" s="48" t="s">
        <v>139</v>
      </c>
      <c r="C564" s="49">
        <v>6</v>
      </c>
      <c r="D564" s="52" t="s">
        <v>525</v>
      </c>
      <c r="E564" s="52"/>
      <c r="F564" s="52"/>
      <c r="G564" s="52"/>
      <c r="H564" s="121"/>
      <c r="I564" s="71" t="s">
        <v>504</v>
      </c>
      <c r="J564" s="71" t="str">
        <f t="shared" ref="J564:J627" si="19">A564&amp;"_"&amp;I564</f>
        <v>563_0.1</v>
      </c>
      <c r="K564" s="69"/>
      <c r="L564" s="69"/>
      <c r="M564" s="36" t="str">
        <f>"太陽熱_"&amp;D564</f>
        <v>太陽熱_集熱器の集熱効率特性線図一次近似式の切片_集熱器群その2</v>
      </c>
    </row>
    <row r="565" spans="1:13" x14ac:dyDescent="0.4">
      <c r="A565" s="37" t="str">
        <f t="shared" si="18"/>
        <v>564</v>
      </c>
      <c r="B565" s="48" t="s">
        <v>139</v>
      </c>
      <c r="C565" s="49">
        <v>6</v>
      </c>
      <c r="D565" s="52" t="s">
        <v>527</v>
      </c>
      <c r="E565" s="52"/>
      <c r="F565" s="52"/>
      <c r="G565" s="52"/>
      <c r="H565" s="121"/>
      <c r="I565" s="71" t="s">
        <v>503</v>
      </c>
      <c r="J565" s="71" t="str">
        <f t="shared" si="19"/>
        <v>564_2.0</v>
      </c>
      <c r="K565" s="69"/>
      <c r="L565" s="69"/>
      <c r="M565" s="36" t="str">
        <f>"太陽熱_"&amp;D565</f>
        <v>太陽熱_集熱器の集熱効率特性線図一次近似式の傾き_集熱器群その2</v>
      </c>
    </row>
    <row r="566" spans="1:13" x14ac:dyDescent="0.4">
      <c r="A566" s="37" t="str">
        <f t="shared" si="18"/>
        <v>565</v>
      </c>
      <c r="B566" s="48" t="s">
        <v>139</v>
      </c>
      <c r="C566" s="51">
        <v>6</v>
      </c>
      <c r="D566" s="50" t="s">
        <v>529</v>
      </c>
      <c r="E566" s="50"/>
      <c r="F566" s="50"/>
      <c r="G566" s="50"/>
      <c r="H566" s="120"/>
      <c r="I566" s="70" t="s">
        <v>506</v>
      </c>
      <c r="J566" s="70" t="str">
        <f t="shared" si="19"/>
        <v>565_0.0107</v>
      </c>
      <c r="K566" s="70"/>
      <c r="L566" s="70"/>
      <c r="M566" s="36" t="str">
        <f>"太陽熱_"&amp;D566</f>
        <v>太陽熱_集熱器の集熱性能試験時における単位面積当たりの空気の質量流量_集熱器群その2</v>
      </c>
    </row>
    <row r="567" spans="1:13" x14ac:dyDescent="0.4">
      <c r="A567" s="37" t="str">
        <f t="shared" si="18"/>
        <v>566</v>
      </c>
      <c r="B567" s="48" t="s">
        <v>139</v>
      </c>
      <c r="C567" s="49">
        <v>7</v>
      </c>
      <c r="D567" s="50" t="s">
        <v>531</v>
      </c>
      <c r="E567" s="50"/>
      <c r="F567" s="50"/>
      <c r="G567" s="50"/>
      <c r="H567" s="120"/>
      <c r="I567" s="50"/>
      <c r="J567" s="50" t="str">
        <f t="shared" si="19"/>
        <v>566_</v>
      </c>
      <c r="K567" s="50"/>
      <c r="L567" s="50"/>
      <c r="M567" s="36" t="str">
        <f>"太陽熱_"&amp;D567</f>
        <v>太陽熱_集熱器群の面積_集熱器群その3</v>
      </c>
    </row>
    <row r="568" spans="1:13" x14ac:dyDescent="0.4">
      <c r="A568" s="37" t="str">
        <f t="shared" si="18"/>
        <v>567</v>
      </c>
      <c r="B568" s="48" t="s">
        <v>139</v>
      </c>
      <c r="C568" s="49">
        <v>7</v>
      </c>
      <c r="D568" s="48" t="s">
        <v>533</v>
      </c>
      <c r="E568" s="48"/>
      <c r="F568" s="48"/>
      <c r="G568" s="48"/>
      <c r="H568" s="119"/>
      <c r="I568" s="48" t="s">
        <v>422</v>
      </c>
      <c r="J568" s="48" t="str">
        <f t="shared" si="19"/>
        <v>567_0度（水平）</v>
      </c>
      <c r="K568" s="48"/>
      <c r="L568" s="48"/>
      <c r="M568" s="36" t="str">
        <f>"太陽熱_"&amp;D568</f>
        <v>太陽熱_集熱器群の傾斜角_集熱器群その3</v>
      </c>
    </row>
    <row r="569" spans="1:13" x14ac:dyDescent="0.4">
      <c r="A569" s="37" t="str">
        <f t="shared" si="18"/>
        <v>568</v>
      </c>
      <c r="B569" s="48" t="s">
        <v>139</v>
      </c>
      <c r="C569" s="49">
        <v>7</v>
      </c>
      <c r="D569" s="48"/>
      <c r="E569" s="48"/>
      <c r="F569" s="48"/>
      <c r="G569" s="48"/>
      <c r="H569" s="119"/>
      <c r="I569" s="48" t="s">
        <v>423</v>
      </c>
      <c r="J569" s="48" t="str">
        <f t="shared" si="19"/>
        <v>568_10度</v>
      </c>
      <c r="K569" s="48"/>
      <c r="L569" s="48"/>
    </row>
    <row r="570" spans="1:13" x14ac:dyDescent="0.4">
      <c r="A570" s="37" t="str">
        <f t="shared" si="18"/>
        <v>569</v>
      </c>
      <c r="B570" s="48" t="s">
        <v>139</v>
      </c>
      <c r="C570" s="49">
        <v>7</v>
      </c>
      <c r="D570" s="48"/>
      <c r="E570" s="48"/>
      <c r="F570" s="48"/>
      <c r="G570" s="48"/>
      <c r="H570" s="119"/>
      <c r="I570" s="48" t="s">
        <v>424</v>
      </c>
      <c r="J570" s="48" t="str">
        <f t="shared" si="19"/>
        <v>569_20度</v>
      </c>
      <c r="K570" s="48"/>
      <c r="L570" s="48"/>
    </row>
    <row r="571" spans="1:13" x14ac:dyDescent="0.4">
      <c r="A571" s="37" t="str">
        <f t="shared" si="18"/>
        <v>570</v>
      </c>
      <c r="B571" s="48" t="s">
        <v>139</v>
      </c>
      <c r="C571" s="49">
        <v>7</v>
      </c>
      <c r="D571" s="48"/>
      <c r="E571" s="48"/>
      <c r="F571" s="48"/>
      <c r="G571" s="48"/>
      <c r="H571" s="119"/>
      <c r="I571" s="48" t="s">
        <v>425</v>
      </c>
      <c r="J571" s="48" t="str">
        <f t="shared" si="19"/>
        <v>570_30度</v>
      </c>
      <c r="K571" s="48"/>
      <c r="L571" s="48"/>
    </row>
    <row r="572" spans="1:13" x14ac:dyDescent="0.4">
      <c r="A572" s="37" t="str">
        <f t="shared" si="18"/>
        <v>571</v>
      </c>
      <c r="B572" s="48" t="s">
        <v>139</v>
      </c>
      <c r="C572" s="49">
        <v>7</v>
      </c>
      <c r="D572" s="48"/>
      <c r="E572" s="48"/>
      <c r="F572" s="48"/>
      <c r="G572" s="48"/>
      <c r="H572" s="119"/>
      <c r="I572" s="48" t="s">
        <v>426</v>
      </c>
      <c r="J572" s="48" t="str">
        <f t="shared" si="19"/>
        <v>571_40度</v>
      </c>
      <c r="K572" s="48"/>
      <c r="L572" s="48"/>
    </row>
    <row r="573" spans="1:13" x14ac:dyDescent="0.4">
      <c r="A573" s="37" t="str">
        <f t="shared" si="18"/>
        <v>572</v>
      </c>
      <c r="B573" s="48" t="s">
        <v>139</v>
      </c>
      <c r="C573" s="49">
        <v>7</v>
      </c>
      <c r="D573" s="48"/>
      <c r="E573" s="48"/>
      <c r="F573" s="48"/>
      <c r="G573" s="48"/>
      <c r="H573" s="119"/>
      <c r="I573" s="48" t="s">
        <v>427</v>
      </c>
      <c r="J573" s="48" t="str">
        <f t="shared" si="19"/>
        <v>572_50度</v>
      </c>
      <c r="K573" s="48"/>
      <c r="L573" s="48"/>
    </row>
    <row r="574" spans="1:13" x14ac:dyDescent="0.4">
      <c r="A574" s="37" t="str">
        <f t="shared" si="18"/>
        <v>573</v>
      </c>
      <c r="B574" s="48" t="s">
        <v>139</v>
      </c>
      <c r="C574" s="49">
        <v>7</v>
      </c>
      <c r="D574" s="48"/>
      <c r="E574" s="48"/>
      <c r="F574" s="48"/>
      <c r="G574" s="48"/>
      <c r="H574" s="119"/>
      <c r="I574" s="48" t="s">
        <v>428</v>
      </c>
      <c r="J574" s="48" t="str">
        <f t="shared" si="19"/>
        <v>573_60度</v>
      </c>
      <c r="K574" s="48"/>
      <c r="L574" s="48"/>
    </row>
    <row r="575" spans="1:13" x14ac:dyDescent="0.4">
      <c r="A575" s="37" t="str">
        <f t="shared" si="18"/>
        <v>574</v>
      </c>
      <c r="B575" s="48" t="s">
        <v>139</v>
      </c>
      <c r="C575" s="49">
        <v>7</v>
      </c>
      <c r="D575" s="48"/>
      <c r="E575" s="48"/>
      <c r="F575" s="48"/>
      <c r="G575" s="48"/>
      <c r="H575" s="119"/>
      <c r="I575" s="48" t="s">
        <v>429</v>
      </c>
      <c r="J575" s="48" t="str">
        <f t="shared" si="19"/>
        <v>574_70度</v>
      </c>
      <c r="K575" s="48"/>
      <c r="L575" s="48"/>
    </row>
    <row r="576" spans="1:13" x14ac:dyDescent="0.4">
      <c r="A576" s="37" t="str">
        <f t="shared" si="18"/>
        <v>575</v>
      </c>
      <c r="B576" s="48" t="s">
        <v>139</v>
      </c>
      <c r="C576" s="49">
        <v>7</v>
      </c>
      <c r="D576" s="48"/>
      <c r="E576" s="48"/>
      <c r="F576" s="48"/>
      <c r="G576" s="48"/>
      <c r="H576" s="119"/>
      <c r="I576" s="48" t="s">
        <v>430</v>
      </c>
      <c r="J576" s="48" t="str">
        <f t="shared" si="19"/>
        <v>575_80度</v>
      </c>
      <c r="K576" s="48"/>
      <c r="L576" s="48"/>
    </row>
    <row r="577" spans="1:13" x14ac:dyDescent="0.4">
      <c r="A577" s="37" t="str">
        <f t="shared" si="18"/>
        <v>576</v>
      </c>
      <c r="B577" s="48" t="s">
        <v>139</v>
      </c>
      <c r="C577" s="49">
        <v>7</v>
      </c>
      <c r="D577" s="50"/>
      <c r="E577" s="50"/>
      <c r="F577" s="50"/>
      <c r="G577" s="50"/>
      <c r="H577" s="120"/>
      <c r="I577" s="50" t="s">
        <v>431</v>
      </c>
      <c r="J577" s="50" t="str">
        <f t="shared" si="19"/>
        <v>576_90度（鉛直）</v>
      </c>
      <c r="K577" s="50"/>
      <c r="L577" s="50"/>
    </row>
    <row r="578" spans="1:13" x14ac:dyDescent="0.4">
      <c r="A578" s="37" t="str">
        <f t="shared" si="18"/>
        <v>577</v>
      </c>
      <c r="B578" s="48" t="s">
        <v>139</v>
      </c>
      <c r="C578" s="49">
        <v>7</v>
      </c>
      <c r="D578" s="48" t="s">
        <v>535</v>
      </c>
      <c r="E578" s="48"/>
      <c r="F578" s="48"/>
      <c r="G578" s="48"/>
      <c r="H578" s="119"/>
      <c r="I578" s="48" t="s">
        <v>54</v>
      </c>
      <c r="J578" s="48" t="str">
        <f t="shared" si="19"/>
        <v>577_入力しない（規定値を用いる）</v>
      </c>
      <c r="K578" s="48"/>
      <c r="L578" s="48"/>
      <c r="M578" s="36" t="str">
        <f>"太陽熱_"&amp;D578</f>
        <v>太陽熱_集熱器群の仕様の入力_集熱器群その3</v>
      </c>
    </row>
    <row r="579" spans="1:13" x14ac:dyDescent="0.4">
      <c r="A579" s="37" t="str">
        <f t="shared" si="18"/>
        <v>578</v>
      </c>
      <c r="B579" s="48" t="s">
        <v>139</v>
      </c>
      <c r="C579" s="49">
        <v>7</v>
      </c>
      <c r="D579" s="50"/>
      <c r="E579" s="50"/>
      <c r="F579" s="50"/>
      <c r="G579" s="50"/>
      <c r="H579" s="120"/>
      <c r="I579" s="50" t="s">
        <v>55</v>
      </c>
      <c r="J579" s="50" t="str">
        <f t="shared" si="19"/>
        <v>578_入力する</v>
      </c>
      <c r="K579" s="50"/>
      <c r="L579" s="50"/>
    </row>
    <row r="580" spans="1:13" x14ac:dyDescent="0.4">
      <c r="A580" s="37" t="str">
        <f t="shared" si="18"/>
        <v>579</v>
      </c>
      <c r="B580" s="48" t="s">
        <v>139</v>
      </c>
      <c r="C580" s="49">
        <v>7</v>
      </c>
      <c r="D580" s="50" t="s">
        <v>537</v>
      </c>
      <c r="E580" s="50"/>
      <c r="F580" s="50"/>
      <c r="G580" s="50"/>
      <c r="H580" s="120"/>
      <c r="I580" s="70" t="s">
        <v>504</v>
      </c>
      <c r="J580" s="70" t="str">
        <f t="shared" si="19"/>
        <v>579_0.1</v>
      </c>
      <c r="K580" s="70"/>
      <c r="L580" s="70"/>
      <c r="M580" s="36" t="str">
        <f>"太陽熱_"&amp;D580</f>
        <v>太陽熱_集熱器の集熱効率特性線図一次近似式の切片_集熱器群その3</v>
      </c>
    </row>
    <row r="581" spans="1:13" x14ac:dyDescent="0.4">
      <c r="A581" s="37" t="str">
        <f t="shared" si="18"/>
        <v>580</v>
      </c>
      <c r="B581" s="48" t="s">
        <v>139</v>
      </c>
      <c r="C581" s="49">
        <v>7</v>
      </c>
      <c r="D581" s="50" t="s">
        <v>539</v>
      </c>
      <c r="E581" s="50"/>
      <c r="F581" s="50"/>
      <c r="G581" s="50"/>
      <c r="H581" s="120"/>
      <c r="I581" s="70" t="s">
        <v>503</v>
      </c>
      <c r="J581" s="70" t="str">
        <f t="shared" si="19"/>
        <v>580_2.0</v>
      </c>
      <c r="K581" s="70"/>
      <c r="L581" s="70"/>
      <c r="M581" s="36" t="str">
        <f>"太陽熱_"&amp;D581</f>
        <v>太陽熱_集熱器の集熱効率特性線図一次近似式の傾き_集熱器群その3</v>
      </c>
    </row>
    <row r="582" spans="1:13" x14ac:dyDescent="0.4">
      <c r="A582" s="44" t="str">
        <f t="shared" si="18"/>
        <v>581</v>
      </c>
      <c r="B582" s="50" t="s">
        <v>139</v>
      </c>
      <c r="C582" s="51">
        <v>7</v>
      </c>
      <c r="D582" s="50" t="s">
        <v>541</v>
      </c>
      <c r="E582" s="50"/>
      <c r="F582" s="50"/>
      <c r="G582" s="50"/>
      <c r="H582" s="120"/>
      <c r="I582" s="70" t="s">
        <v>506</v>
      </c>
      <c r="J582" s="70" t="str">
        <f t="shared" si="19"/>
        <v>581_0.0107</v>
      </c>
      <c r="K582" s="70"/>
      <c r="L582" s="70"/>
      <c r="M582" s="36" t="str">
        <f>"太陽熱_"&amp;D582</f>
        <v>太陽熱_集熱器の集熱性能試験時における単位面積当たりの空気の質量流量_集熱器群その3</v>
      </c>
    </row>
    <row r="583" spans="1:13" x14ac:dyDescent="0.4">
      <c r="A583" s="37" t="str">
        <f t="shared" si="18"/>
        <v>582</v>
      </c>
      <c r="B583" s="58" t="s">
        <v>140</v>
      </c>
      <c r="C583" s="39" t="s">
        <v>1414</v>
      </c>
      <c r="D583" s="38" t="s">
        <v>547</v>
      </c>
      <c r="E583" s="38"/>
      <c r="F583" s="38"/>
      <c r="G583" s="38"/>
      <c r="H583" s="116"/>
      <c r="I583" s="38" t="s">
        <v>51</v>
      </c>
      <c r="J583" s="38" t="str">
        <f t="shared" si="19"/>
        <v>582_設置しない</v>
      </c>
      <c r="K583" s="38" t="s">
        <v>1449</v>
      </c>
      <c r="L583" s="38"/>
    </row>
    <row r="584" spans="1:13" x14ac:dyDescent="0.4">
      <c r="A584" s="37" t="str">
        <f t="shared" si="18"/>
        <v>583</v>
      </c>
      <c r="B584" s="40" t="s">
        <v>722</v>
      </c>
      <c r="C584" s="45"/>
      <c r="D584" s="40"/>
      <c r="E584" s="40"/>
      <c r="F584" s="40"/>
      <c r="G584" s="40"/>
      <c r="H584" s="115"/>
      <c r="I584" s="40" t="s">
        <v>315</v>
      </c>
      <c r="J584" s="40" t="str">
        <f t="shared" si="19"/>
        <v>583_設置する</v>
      </c>
      <c r="K584" s="40" t="s">
        <v>1448</v>
      </c>
      <c r="L584" s="40"/>
    </row>
    <row r="585" spans="1:13" x14ac:dyDescent="0.4">
      <c r="A585" s="37" t="str">
        <f t="shared" si="18"/>
        <v>584</v>
      </c>
      <c r="B585" s="38" t="s">
        <v>722</v>
      </c>
      <c r="C585" s="42" t="s">
        <v>1415</v>
      </c>
      <c r="D585" s="38" t="s">
        <v>548</v>
      </c>
      <c r="E585" s="38"/>
      <c r="F585" s="38"/>
      <c r="G585" s="38"/>
      <c r="H585" s="116"/>
      <c r="I585" s="38" t="s">
        <v>361</v>
      </c>
      <c r="J585" s="38" t="str">
        <f t="shared" si="19"/>
        <v>584_品番を指定しない（規定値を用いる）</v>
      </c>
      <c r="K585" s="38" t="s">
        <v>1448</v>
      </c>
      <c r="L585" s="38"/>
    </row>
    <row r="586" spans="1:13" x14ac:dyDescent="0.4">
      <c r="A586" s="37" t="str">
        <f t="shared" si="18"/>
        <v>585</v>
      </c>
      <c r="B586" s="38" t="s">
        <v>722</v>
      </c>
      <c r="C586" s="42"/>
      <c r="D586" s="38"/>
      <c r="E586" s="38"/>
      <c r="F586" s="38"/>
      <c r="G586" s="38"/>
      <c r="H586" s="116"/>
      <c r="I586" s="38" t="s">
        <v>363</v>
      </c>
      <c r="J586" s="38" t="str">
        <f t="shared" si="19"/>
        <v>585_品番を指定しない（パラメータを入力する）</v>
      </c>
      <c r="K586" s="38" t="s">
        <v>1448</v>
      </c>
      <c r="L586" s="38"/>
    </row>
    <row r="587" spans="1:13" x14ac:dyDescent="0.4">
      <c r="A587" s="37" t="str">
        <f t="shared" si="18"/>
        <v>586</v>
      </c>
      <c r="B587" s="38" t="s">
        <v>722</v>
      </c>
      <c r="C587" s="42"/>
      <c r="D587" s="40"/>
      <c r="E587" s="40"/>
      <c r="F587" s="40"/>
      <c r="G587" s="40"/>
      <c r="H587" s="115"/>
      <c r="I587" s="40" t="s">
        <v>364</v>
      </c>
      <c r="J587" s="40" t="str">
        <f t="shared" si="19"/>
        <v>586_品番を指定する</v>
      </c>
      <c r="K587" s="40" t="s">
        <v>1448</v>
      </c>
      <c r="L587" s="40"/>
    </row>
    <row r="588" spans="1:13" x14ac:dyDescent="0.4">
      <c r="A588" s="37" t="str">
        <f t="shared" si="18"/>
        <v>587</v>
      </c>
      <c r="B588" s="38" t="s">
        <v>722</v>
      </c>
      <c r="C588" s="42" t="s">
        <v>1416</v>
      </c>
      <c r="D588" s="38" t="s">
        <v>549</v>
      </c>
      <c r="E588" s="38"/>
      <c r="F588" s="38"/>
      <c r="G588" s="38"/>
      <c r="H588" s="116"/>
      <c r="I588" s="38" t="s">
        <v>550</v>
      </c>
      <c r="J588" s="38" t="str">
        <f t="shared" si="19"/>
        <v>587_PEFC（固体高分子形燃料電池）</v>
      </c>
      <c r="K588" s="38" t="s">
        <v>1451</v>
      </c>
      <c r="L588" s="38"/>
    </row>
    <row r="589" spans="1:13" x14ac:dyDescent="0.4">
      <c r="A589" s="37" t="str">
        <f t="shared" si="18"/>
        <v>588</v>
      </c>
      <c r="B589" s="38" t="s">
        <v>722</v>
      </c>
      <c r="C589" s="42"/>
      <c r="D589" s="38"/>
      <c r="E589" s="38"/>
      <c r="F589" s="38"/>
      <c r="G589" s="38"/>
      <c r="H589" s="116"/>
      <c r="I589" s="38" t="s">
        <v>551</v>
      </c>
      <c r="J589" s="38" t="str">
        <f t="shared" si="19"/>
        <v>588_SOFC（固体酸化物形燃料電池）</v>
      </c>
      <c r="K589" s="38" t="s">
        <v>1417</v>
      </c>
      <c r="L589" s="38"/>
    </row>
    <row r="590" spans="1:13" x14ac:dyDescent="0.4">
      <c r="A590" s="37" t="str">
        <f t="shared" si="18"/>
        <v>589</v>
      </c>
      <c r="B590" s="38" t="s">
        <v>722</v>
      </c>
      <c r="C590" s="42"/>
      <c r="D590" s="40"/>
      <c r="E590" s="40"/>
      <c r="F590" s="40"/>
      <c r="G590" s="40"/>
      <c r="H590" s="115"/>
      <c r="I590" s="40" t="s">
        <v>564</v>
      </c>
      <c r="J590" s="40" t="str">
        <f t="shared" si="19"/>
        <v>589_PEFC・SOFCに2015年度以前の評価方法、またはGEC</v>
      </c>
      <c r="K590" s="40" t="s">
        <v>1417</v>
      </c>
      <c r="L590" s="40"/>
    </row>
    <row r="591" spans="1:13" x14ac:dyDescent="0.4">
      <c r="A591" s="37" t="str">
        <f t="shared" si="18"/>
        <v>590</v>
      </c>
      <c r="B591" s="38" t="s">
        <v>722</v>
      </c>
      <c r="C591" s="42" t="s">
        <v>1417</v>
      </c>
      <c r="D591" s="38" t="s">
        <v>565</v>
      </c>
      <c r="E591" s="38"/>
      <c r="F591" s="38"/>
      <c r="G591" s="38"/>
      <c r="H591" s="116"/>
      <c r="I591" s="38" t="s">
        <v>566</v>
      </c>
      <c r="J591" s="38" t="str">
        <f t="shared" si="19"/>
        <v>590_PEFC1</v>
      </c>
      <c r="K591" s="38"/>
      <c r="L591" s="38"/>
    </row>
    <row r="592" spans="1:13" x14ac:dyDescent="0.4">
      <c r="A592" s="37" t="str">
        <f t="shared" si="18"/>
        <v>591</v>
      </c>
      <c r="B592" s="38" t="s">
        <v>722</v>
      </c>
      <c r="C592" s="42"/>
      <c r="D592" s="38"/>
      <c r="E592" s="38"/>
      <c r="F592" s="38"/>
      <c r="G592" s="38"/>
      <c r="H592" s="116"/>
      <c r="I592" s="38" t="s">
        <v>567</v>
      </c>
      <c r="J592" s="38" t="str">
        <f t="shared" si="19"/>
        <v>591_PEFC2</v>
      </c>
      <c r="K592" s="38"/>
      <c r="L592" s="38"/>
    </row>
    <row r="593" spans="1:12" x14ac:dyDescent="0.4">
      <c r="A593" s="37" t="str">
        <f t="shared" si="18"/>
        <v>592</v>
      </c>
      <c r="B593" s="38" t="s">
        <v>722</v>
      </c>
      <c r="C593" s="42"/>
      <c r="D593" s="38"/>
      <c r="E593" s="38"/>
      <c r="F593" s="38"/>
      <c r="G593" s="38"/>
      <c r="H593" s="116"/>
      <c r="I593" s="38" t="s">
        <v>568</v>
      </c>
      <c r="J593" s="38" t="str">
        <f t="shared" si="19"/>
        <v>592_PEFC3</v>
      </c>
      <c r="K593" s="38"/>
      <c r="L593" s="38"/>
    </row>
    <row r="594" spans="1:12" x14ac:dyDescent="0.4">
      <c r="A594" s="37" t="str">
        <f t="shared" si="18"/>
        <v>593</v>
      </c>
      <c r="B594" s="38" t="s">
        <v>722</v>
      </c>
      <c r="C594" s="42"/>
      <c r="D594" s="38"/>
      <c r="E594" s="38"/>
      <c r="F594" s="38"/>
      <c r="G594" s="38"/>
      <c r="H594" s="116"/>
      <c r="I594" s="38" t="s">
        <v>569</v>
      </c>
      <c r="J594" s="38" t="str">
        <f t="shared" si="19"/>
        <v>593_PEFC4</v>
      </c>
      <c r="K594" s="38"/>
      <c r="L594" s="38"/>
    </row>
    <row r="595" spans="1:12" x14ac:dyDescent="0.4">
      <c r="A595" s="37" t="str">
        <f t="shared" si="18"/>
        <v>594</v>
      </c>
      <c r="B595" s="38" t="s">
        <v>722</v>
      </c>
      <c r="C595" s="42"/>
      <c r="D595" s="38"/>
      <c r="E595" s="38"/>
      <c r="F595" s="38"/>
      <c r="G595" s="38"/>
      <c r="H595" s="116"/>
      <c r="I595" s="38" t="s">
        <v>570</v>
      </c>
      <c r="J595" s="38" t="str">
        <f t="shared" si="19"/>
        <v>594_PEFC5</v>
      </c>
      <c r="K595" s="38"/>
      <c r="L595" s="38"/>
    </row>
    <row r="596" spans="1:12" x14ac:dyDescent="0.4">
      <c r="A596" s="37" t="str">
        <f t="shared" si="18"/>
        <v>595</v>
      </c>
      <c r="B596" s="38" t="s">
        <v>722</v>
      </c>
      <c r="C596" s="42"/>
      <c r="D596" s="38"/>
      <c r="E596" s="38"/>
      <c r="F596" s="38"/>
      <c r="G596" s="38"/>
      <c r="H596" s="116"/>
      <c r="I596" s="38" t="s">
        <v>571</v>
      </c>
      <c r="J596" s="38" t="str">
        <f t="shared" si="19"/>
        <v>595_PEFC6</v>
      </c>
      <c r="K596" s="38"/>
      <c r="L596" s="38"/>
    </row>
    <row r="597" spans="1:12" x14ac:dyDescent="0.4">
      <c r="A597" s="37" t="str">
        <f t="shared" si="18"/>
        <v>596</v>
      </c>
      <c r="B597" s="38" t="s">
        <v>722</v>
      </c>
      <c r="C597" s="42"/>
      <c r="D597" s="38"/>
      <c r="E597" s="38"/>
      <c r="F597" s="38"/>
      <c r="G597" s="38"/>
      <c r="H597" s="116"/>
      <c r="I597" s="38" t="s">
        <v>572</v>
      </c>
      <c r="J597" s="38" t="str">
        <f t="shared" si="19"/>
        <v>596_SOFC1</v>
      </c>
      <c r="K597" s="38"/>
      <c r="L597" s="38"/>
    </row>
    <row r="598" spans="1:12" x14ac:dyDescent="0.4">
      <c r="A598" s="37" t="str">
        <f t="shared" si="18"/>
        <v>597</v>
      </c>
      <c r="B598" s="38" t="s">
        <v>722</v>
      </c>
      <c r="C598" s="42"/>
      <c r="D598" s="38"/>
      <c r="E598" s="38"/>
      <c r="F598" s="38"/>
      <c r="G598" s="38"/>
      <c r="H598" s="116"/>
      <c r="I598" s="38" t="s">
        <v>573</v>
      </c>
      <c r="J598" s="38" t="str">
        <f t="shared" si="19"/>
        <v>597_SOFC2</v>
      </c>
      <c r="K598" s="38"/>
      <c r="L598" s="38"/>
    </row>
    <row r="599" spans="1:12" x14ac:dyDescent="0.4">
      <c r="A599" s="37" t="str">
        <f t="shared" si="18"/>
        <v>598</v>
      </c>
      <c r="B599" s="38" t="s">
        <v>722</v>
      </c>
      <c r="C599" s="42"/>
      <c r="D599" s="38"/>
      <c r="E599" s="38"/>
      <c r="F599" s="38"/>
      <c r="G599" s="38"/>
      <c r="H599" s="116"/>
      <c r="I599" s="38" t="s">
        <v>574</v>
      </c>
      <c r="J599" s="38" t="str">
        <f t="shared" si="19"/>
        <v>598_GEC1</v>
      </c>
      <c r="K599" s="38"/>
      <c r="L599" s="38"/>
    </row>
    <row r="600" spans="1:12" x14ac:dyDescent="0.4">
      <c r="A600" s="37" t="str">
        <f t="shared" si="18"/>
        <v>599</v>
      </c>
      <c r="B600" s="38" t="s">
        <v>722</v>
      </c>
      <c r="C600" s="42"/>
      <c r="D600" s="40"/>
      <c r="E600" s="40"/>
      <c r="F600" s="40"/>
      <c r="G600" s="40"/>
      <c r="H600" s="115"/>
      <c r="I600" s="40" t="s">
        <v>575</v>
      </c>
      <c r="J600" s="40" t="str">
        <f t="shared" si="19"/>
        <v>599_GEC2</v>
      </c>
      <c r="K600" s="40"/>
      <c r="L600" s="40"/>
    </row>
    <row r="601" spans="1:12" x14ac:dyDescent="0.4">
      <c r="A601" s="37" t="str">
        <f t="shared" si="18"/>
        <v>600</v>
      </c>
      <c r="B601" s="38" t="s">
        <v>722</v>
      </c>
      <c r="C601" s="42" t="s">
        <v>1418</v>
      </c>
      <c r="D601" s="38" t="s">
        <v>552</v>
      </c>
      <c r="E601" s="38"/>
      <c r="F601" s="38"/>
      <c r="G601" s="38"/>
      <c r="H601" s="116"/>
      <c r="I601" s="38" t="s">
        <v>56</v>
      </c>
      <c r="J601" s="38" t="str">
        <f t="shared" si="19"/>
        <v>600_評価しない</v>
      </c>
      <c r="K601" s="38"/>
      <c r="L601" s="38"/>
    </row>
    <row r="602" spans="1:12" x14ac:dyDescent="0.4">
      <c r="A602" s="37" t="str">
        <f t="shared" si="18"/>
        <v>601</v>
      </c>
      <c r="B602" s="38" t="s">
        <v>722</v>
      </c>
      <c r="C602" s="42"/>
      <c r="D602" s="40"/>
      <c r="E602" s="40"/>
      <c r="F602" s="40"/>
      <c r="G602" s="40"/>
      <c r="H602" s="115"/>
      <c r="I602" s="40" t="s">
        <v>400</v>
      </c>
      <c r="J602" s="40" t="str">
        <f t="shared" si="19"/>
        <v>601_評価する</v>
      </c>
      <c r="K602" s="40"/>
      <c r="L602" s="40"/>
    </row>
    <row r="603" spans="1:12" x14ac:dyDescent="0.4">
      <c r="A603" s="37" t="str">
        <f t="shared" si="18"/>
        <v>602</v>
      </c>
      <c r="B603" s="40" t="s">
        <v>722</v>
      </c>
      <c r="C603" s="45" t="s">
        <v>1419</v>
      </c>
      <c r="D603" s="40" t="s">
        <v>961</v>
      </c>
      <c r="E603" s="40"/>
      <c r="F603" s="40"/>
      <c r="G603" s="40"/>
      <c r="H603" s="115"/>
      <c r="I603" s="40"/>
      <c r="J603" s="40" t="str">
        <f t="shared" si="19"/>
        <v>602_</v>
      </c>
      <c r="K603" s="40"/>
      <c r="L603" s="40"/>
    </row>
    <row r="604" spans="1:12" x14ac:dyDescent="0.4">
      <c r="A604" s="37" t="str">
        <f t="shared" si="18"/>
        <v>603</v>
      </c>
      <c r="B604" s="38" t="s">
        <v>722</v>
      </c>
      <c r="C604" s="42" t="s">
        <v>1420</v>
      </c>
      <c r="D604" s="43" t="s">
        <v>979</v>
      </c>
      <c r="E604" s="43"/>
      <c r="F604" s="43"/>
      <c r="G604" s="43"/>
      <c r="H604" s="117"/>
      <c r="I604" s="43"/>
      <c r="J604" s="43" t="str">
        <f t="shared" si="19"/>
        <v>603_</v>
      </c>
      <c r="K604" s="38"/>
      <c r="L604" s="38"/>
    </row>
    <row r="605" spans="1:12" x14ac:dyDescent="0.4">
      <c r="A605" s="37" t="str">
        <f t="shared" si="18"/>
        <v>604</v>
      </c>
      <c r="B605" s="38" t="s">
        <v>722</v>
      </c>
      <c r="C605" s="42" t="s">
        <v>1421</v>
      </c>
      <c r="D605" s="43" t="s">
        <v>981</v>
      </c>
      <c r="E605" s="43"/>
      <c r="F605" s="43"/>
      <c r="G605" s="43"/>
      <c r="H605" s="117"/>
      <c r="I605" s="43"/>
      <c r="J605" s="43" t="str">
        <f t="shared" si="19"/>
        <v>604_</v>
      </c>
      <c r="K605" s="38"/>
      <c r="L605" s="38"/>
    </row>
    <row r="606" spans="1:12" x14ac:dyDescent="0.4">
      <c r="A606" s="37" t="str">
        <f t="shared" si="18"/>
        <v>605</v>
      </c>
      <c r="B606" s="38" t="s">
        <v>722</v>
      </c>
      <c r="C606" s="42" t="s">
        <v>1422</v>
      </c>
      <c r="D606" s="43" t="s">
        <v>983</v>
      </c>
      <c r="E606" s="43"/>
      <c r="F606" s="43"/>
      <c r="G606" s="43"/>
      <c r="H606" s="117"/>
      <c r="I606" s="43"/>
      <c r="J606" s="43" t="str">
        <f t="shared" si="19"/>
        <v>605_</v>
      </c>
      <c r="K606" s="38"/>
      <c r="L606" s="38"/>
    </row>
    <row r="607" spans="1:12" x14ac:dyDescent="0.4">
      <c r="A607" s="37" t="str">
        <f t="shared" si="18"/>
        <v>606</v>
      </c>
      <c r="B607" s="38" t="s">
        <v>722</v>
      </c>
      <c r="C607" s="42" t="s">
        <v>1423</v>
      </c>
      <c r="D607" s="43" t="s">
        <v>985</v>
      </c>
      <c r="E607" s="43"/>
      <c r="F607" s="43"/>
      <c r="G607" s="43"/>
      <c r="H607" s="117"/>
      <c r="I607" s="43"/>
      <c r="J607" s="43" t="str">
        <f t="shared" si="19"/>
        <v>606_</v>
      </c>
      <c r="K607" s="38"/>
      <c r="L607" s="38"/>
    </row>
    <row r="608" spans="1:12" x14ac:dyDescent="0.4">
      <c r="A608" s="37" t="str">
        <f t="shared" si="18"/>
        <v>607</v>
      </c>
      <c r="B608" s="38" t="s">
        <v>722</v>
      </c>
      <c r="C608" s="42" t="s">
        <v>1424</v>
      </c>
      <c r="D608" s="43" t="s">
        <v>987</v>
      </c>
      <c r="E608" s="43"/>
      <c r="F608" s="43"/>
      <c r="G608" s="43"/>
      <c r="H608" s="117"/>
      <c r="I608" s="43"/>
      <c r="J608" s="43" t="str">
        <f t="shared" si="19"/>
        <v>607_</v>
      </c>
      <c r="K608" s="40"/>
      <c r="L608" s="40"/>
    </row>
    <row r="609" spans="1:12" x14ac:dyDescent="0.4">
      <c r="A609" s="37" t="str">
        <f t="shared" si="18"/>
        <v>608</v>
      </c>
      <c r="B609" s="38" t="s">
        <v>722</v>
      </c>
      <c r="C609" s="42" t="s">
        <v>1425</v>
      </c>
      <c r="D609" s="43" t="s">
        <v>989</v>
      </c>
      <c r="E609" s="43"/>
      <c r="F609" s="43"/>
      <c r="G609" s="43"/>
      <c r="H609" s="117"/>
      <c r="I609" s="43"/>
      <c r="J609" s="43" t="str">
        <f t="shared" si="19"/>
        <v>608_</v>
      </c>
      <c r="K609" s="38"/>
      <c r="L609" s="38"/>
    </row>
    <row r="610" spans="1:12" x14ac:dyDescent="0.4">
      <c r="A610" s="37" t="str">
        <f t="shared" si="18"/>
        <v>609</v>
      </c>
      <c r="B610" s="38" t="s">
        <v>722</v>
      </c>
      <c r="C610" s="42" t="s">
        <v>1426</v>
      </c>
      <c r="D610" s="43" t="s">
        <v>991</v>
      </c>
      <c r="E610" s="43"/>
      <c r="F610" s="43"/>
      <c r="G610" s="43"/>
      <c r="H610" s="117"/>
      <c r="I610" s="43"/>
      <c r="J610" s="43" t="str">
        <f t="shared" si="19"/>
        <v>609_</v>
      </c>
      <c r="K610" s="40"/>
      <c r="L610" s="40"/>
    </row>
    <row r="611" spans="1:12" x14ac:dyDescent="0.4">
      <c r="A611" s="37" t="str">
        <f t="shared" si="18"/>
        <v>610</v>
      </c>
      <c r="B611" s="38" t="s">
        <v>722</v>
      </c>
      <c r="C611" s="42" t="s">
        <v>1427</v>
      </c>
      <c r="D611" s="43" t="s">
        <v>993</v>
      </c>
      <c r="E611" s="43"/>
      <c r="F611" s="43"/>
      <c r="G611" s="43"/>
      <c r="H611" s="117"/>
      <c r="I611" s="43"/>
      <c r="J611" s="43" t="str">
        <f t="shared" si="19"/>
        <v>610_</v>
      </c>
      <c r="K611" s="38"/>
      <c r="L611" s="38"/>
    </row>
    <row r="612" spans="1:12" x14ac:dyDescent="0.4">
      <c r="A612" s="37" t="str">
        <f t="shared" si="18"/>
        <v>611</v>
      </c>
      <c r="B612" s="38" t="s">
        <v>722</v>
      </c>
      <c r="C612" s="42" t="s">
        <v>1428</v>
      </c>
      <c r="D612" s="43" t="s">
        <v>995</v>
      </c>
      <c r="E612" s="43"/>
      <c r="F612" s="43"/>
      <c r="G612" s="43"/>
      <c r="H612" s="117"/>
      <c r="I612" s="43"/>
      <c r="J612" s="43" t="str">
        <f t="shared" si="19"/>
        <v>611_</v>
      </c>
      <c r="K612" s="38"/>
      <c r="L612" s="38"/>
    </row>
    <row r="613" spans="1:12" x14ac:dyDescent="0.4">
      <c r="A613" s="37" t="str">
        <f t="shared" si="18"/>
        <v>612</v>
      </c>
      <c r="B613" s="38" t="s">
        <v>722</v>
      </c>
      <c r="C613" s="42" t="s">
        <v>1429</v>
      </c>
      <c r="D613" s="43" t="s">
        <v>997</v>
      </c>
      <c r="E613" s="43"/>
      <c r="F613" s="43"/>
      <c r="G613" s="43"/>
      <c r="H613" s="117"/>
      <c r="I613" s="43"/>
      <c r="J613" s="43" t="str">
        <f t="shared" si="19"/>
        <v>612_</v>
      </c>
      <c r="K613" s="40"/>
      <c r="L613" s="40"/>
    </row>
    <row r="614" spans="1:12" x14ac:dyDescent="0.4">
      <c r="A614" s="37" t="str">
        <f t="shared" si="18"/>
        <v>613</v>
      </c>
      <c r="B614" s="38" t="s">
        <v>722</v>
      </c>
      <c r="C614" s="42" t="s">
        <v>1430</v>
      </c>
      <c r="D614" s="43" t="s">
        <v>999</v>
      </c>
      <c r="E614" s="43"/>
      <c r="F614" s="43"/>
      <c r="G614" s="43"/>
      <c r="H614" s="117"/>
      <c r="I614" s="43"/>
      <c r="J614" s="43" t="str">
        <f t="shared" si="19"/>
        <v>613_</v>
      </c>
      <c r="K614" s="38"/>
      <c r="L614" s="38"/>
    </row>
    <row r="615" spans="1:12" x14ac:dyDescent="0.4">
      <c r="A615" s="37" t="str">
        <f t="shared" si="18"/>
        <v>614</v>
      </c>
      <c r="B615" s="38" t="s">
        <v>722</v>
      </c>
      <c r="C615" s="42" t="s">
        <v>1431</v>
      </c>
      <c r="D615" s="43" t="s">
        <v>1001</v>
      </c>
      <c r="E615" s="43"/>
      <c r="F615" s="43"/>
      <c r="G615" s="43"/>
      <c r="H615" s="117"/>
      <c r="I615" s="43"/>
      <c r="J615" s="43" t="str">
        <f t="shared" si="19"/>
        <v>614_</v>
      </c>
      <c r="K615" s="38"/>
      <c r="L615" s="38"/>
    </row>
    <row r="616" spans="1:12" x14ac:dyDescent="0.4">
      <c r="A616" s="37" t="str">
        <f t="shared" si="18"/>
        <v>615</v>
      </c>
      <c r="B616" s="38" t="s">
        <v>722</v>
      </c>
      <c r="C616" s="42" t="s">
        <v>1432</v>
      </c>
      <c r="D616" s="43" t="s">
        <v>1003</v>
      </c>
      <c r="E616" s="43"/>
      <c r="F616" s="43"/>
      <c r="G616" s="43"/>
      <c r="H616" s="117"/>
      <c r="I616" s="43"/>
      <c r="J616" s="43" t="str">
        <f t="shared" si="19"/>
        <v>615_</v>
      </c>
      <c r="K616" s="38"/>
      <c r="L616" s="38"/>
    </row>
    <row r="617" spans="1:12" x14ac:dyDescent="0.4">
      <c r="A617" s="37" t="str">
        <f t="shared" si="18"/>
        <v>616</v>
      </c>
      <c r="B617" s="38" t="s">
        <v>722</v>
      </c>
      <c r="C617" s="42" t="s">
        <v>1433</v>
      </c>
      <c r="D617" s="43" t="s">
        <v>1005</v>
      </c>
      <c r="E617" s="43"/>
      <c r="F617" s="43"/>
      <c r="G617" s="43"/>
      <c r="H617" s="117"/>
      <c r="I617" s="43"/>
      <c r="J617" s="43" t="str">
        <f t="shared" si="19"/>
        <v>616_</v>
      </c>
      <c r="K617" s="38"/>
      <c r="L617" s="38"/>
    </row>
    <row r="618" spans="1:12" x14ac:dyDescent="0.4">
      <c r="A618" s="37" t="str">
        <f t="shared" si="18"/>
        <v>617</v>
      </c>
      <c r="B618" s="38" t="s">
        <v>722</v>
      </c>
      <c r="C618" s="42" t="s">
        <v>1434</v>
      </c>
      <c r="D618" s="43" t="s">
        <v>1007</v>
      </c>
      <c r="E618" s="43"/>
      <c r="F618" s="43"/>
      <c r="G618" s="43"/>
      <c r="H618" s="117"/>
      <c r="I618" s="43"/>
      <c r="J618" s="43" t="str">
        <f t="shared" si="19"/>
        <v>617_</v>
      </c>
      <c r="K618" s="38"/>
      <c r="L618" s="38"/>
    </row>
    <row r="619" spans="1:12" x14ac:dyDescent="0.4">
      <c r="A619" s="37" t="str">
        <f t="shared" si="18"/>
        <v>618</v>
      </c>
      <c r="B619" s="38" t="s">
        <v>722</v>
      </c>
      <c r="C619" s="42" t="s">
        <v>1435</v>
      </c>
      <c r="D619" s="43" t="s">
        <v>1009</v>
      </c>
      <c r="E619" s="43"/>
      <c r="F619" s="43"/>
      <c r="G619" s="43"/>
      <c r="H619" s="117"/>
      <c r="I619" s="43"/>
      <c r="J619" s="43" t="str">
        <f t="shared" si="19"/>
        <v>618_</v>
      </c>
      <c r="K619" s="40"/>
      <c r="L619" s="40"/>
    </row>
    <row r="620" spans="1:12" x14ac:dyDescent="0.4">
      <c r="A620" s="37" t="str">
        <f t="shared" si="18"/>
        <v>619</v>
      </c>
      <c r="B620" s="38" t="s">
        <v>722</v>
      </c>
      <c r="C620" s="42" t="s">
        <v>1436</v>
      </c>
      <c r="D620" s="43" t="s">
        <v>1011</v>
      </c>
      <c r="E620" s="43"/>
      <c r="F620" s="43"/>
      <c r="G620" s="43"/>
      <c r="H620" s="117"/>
      <c r="I620" s="43"/>
      <c r="J620" s="43" t="str">
        <f t="shared" si="19"/>
        <v>619_</v>
      </c>
      <c r="K620" s="38"/>
      <c r="L620" s="38"/>
    </row>
    <row r="621" spans="1:12" x14ac:dyDescent="0.4">
      <c r="A621" s="37" t="str">
        <f t="shared" si="18"/>
        <v>620</v>
      </c>
      <c r="B621" s="38" t="s">
        <v>722</v>
      </c>
      <c r="C621" s="42" t="s">
        <v>1437</v>
      </c>
      <c r="D621" s="43" t="s">
        <v>1013</v>
      </c>
      <c r="E621" s="43"/>
      <c r="F621" s="43"/>
      <c r="G621" s="43"/>
      <c r="H621" s="117"/>
      <c r="I621" s="43"/>
      <c r="J621" s="43" t="str">
        <f t="shared" si="19"/>
        <v>620_</v>
      </c>
      <c r="K621" s="38"/>
      <c r="L621" s="38"/>
    </row>
    <row r="622" spans="1:12" x14ac:dyDescent="0.4">
      <c r="A622" s="37" t="str">
        <f t="shared" si="18"/>
        <v>621</v>
      </c>
      <c r="B622" s="38" t="s">
        <v>722</v>
      </c>
      <c r="C622" s="42" t="s">
        <v>1438</v>
      </c>
      <c r="D622" s="43" t="s">
        <v>1015</v>
      </c>
      <c r="E622" s="43"/>
      <c r="F622" s="43"/>
      <c r="G622" s="43"/>
      <c r="H622" s="117"/>
      <c r="I622" s="43"/>
      <c r="J622" s="43" t="str">
        <f t="shared" si="19"/>
        <v>621_</v>
      </c>
      <c r="K622" s="38"/>
      <c r="L622" s="38"/>
    </row>
    <row r="623" spans="1:12" x14ac:dyDescent="0.4">
      <c r="A623" s="37" t="str">
        <f t="shared" si="18"/>
        <v>622</v>
      </c>
      <c r="B623" s="38" t="s">
        <v>722</v>
      </c>
      <c r="C623" s="42" t="s">
        <v>1439</v>
      </c>
      <c r="D623" s="43" t="s">
        <v>1017</v>
      </c>
      <c r="E623" s="43"/>
      <c r="F623" s="43"/>
      <c r="G623" s="43"/>
      <c r="H623" s="117"/>
      <c r="I623" s="43"/>
      <c r="J623" s="43" t="str">
        <f t="shared" si="19"/>
        <v>622_</v>
      </c>
      <c r="K623" s="38"/>
      <c r="L623" s="38"/>
    </row>
    <row r="624" spans="1:12" x14ac:dyDescent="0.4">
      <c r="A624" s="37" t="str">
        <f t="shared" si="18"/>
        <v>623</v>
      </c>
      <c r="B624" s="38" t="s">
        <v>722</v>
      </c>
      <c r="C624" s="42" t="s">
        <v>1440</v>
      </c>
      <c r="D624" s="43" t="s">
        <v>1019</v>
      </c>
      <c r="E624" s="43"/>
      <c r="F624" s="43"/>
      <c r="G624" s="43"/>
      <c r="H624" s="117"/>
      <c r="I624" s="43"/>
      <c r="J624" s="43" t="str">
        <f t="shared" si="19"/>
        <v>623_</v>
      </c>
      <c r="K624" s="38"/>
      <c r="L624" s="38"/>
    </row>
    <row r="625" spans="1:12" x14ac:dyDescent="0.4">
      <c r="A625" s="37" t="str">
        <f t="shared" si="18"/>
        <v>624</v>
      </c>
      <c r="B625" s="38" t="s">
        <v>722</v>
      </c>
      <c r="C625" s="42" t="s">
        <v>1441</v>
      </c>
      <c r="D625" s="43" t="s">
        <v>1021</v>
      </c>
      <c r="E625" s="43"/>
      <c r="F625" s="43"/>
      <c r="G625" s="43"/>
      <c r="H625" s="117"/>
      <c r="I625" s="43"/>
      <c r="J625" s="43" t="str">
        <f t="shared" si="19"/>
        <v>624_</v>
      </c>
      <c r="K625" s="40"/>
      <c r="L625" s="40"/>
    </row>
    <row r="626" spans="1:12" x14ac:dyDescent="0.4">
      <c r="A626" s="37" t="str">
        <f t="shared" ref="A626:A636" si="20">TEXT(ROW()-1,"000")</f>
        <v>625</v>
      </c>
      <c r="B626" s="38" t="s">
        <v>722</v>
      </c>
      <c r="C626" s="42" t="s">
        <v>1442</v>
      </c>
      <c r="D626" s="38" t="s">
        <v>553</v>
      </c>
      <c r="E626" s="38"/>
      <c r="F626" s="38"/>
      <c r="G626" s="38"/>
      <c r="H626" s="116"/>
      <c r="I626" s="38" t="s">
        <v>554</v>
      </c>
      <c r="J626" s="38" t="str">
        <f t="shared" si="19"/>
        <v>625_ガス従来型</v>
      </c>
      <c r="K626" s="38"/>
      <c r="L626" s="38"/>
    </row>
    <row r="627" spans="1:12" x14ac:dyDescent="0.4">
      <c r="A627" s="37" t="str">
        <f t="shared" si="20"/>
        <v>626</v>
      </c>
      <c r="B627" s="38" t="s">
        <v>722</v>
      </c>
      <c r="C627" s="42"/>
      <c r="D627" s="40"/>
      <c r="E627" s="40"/>
      <c r="F627" s="40"/>
      <c r="G627" s="40"/>
      <c r="H627" s="115"/>
      <c r="I627" s="40" t="s">
        <v>555</v>
      </c>
      <c r="J627" s="40" t="str">
        <f t="shared" si="19"/>
        <v>626_ガス潜熱回収型</v>
      </c>
      <c r="K627" s="40"/>
      <c r="L627" s="40"/>
    </row>
    <row r="628" spans="1:12" x14ac:dyDescent="0.4">
      <c r="A628" s="37" t="str">
        <f t="shared" si="20"/>
        <v>627</v>
      </c>
      <c r="B628" s="38" t="s">
        <v>722</v>
      </c>
      <c r="C628" s="42" t="s">
        <v>1443</v>
      </c>
      <c r="D628" s="38" t="s">
        <v>556</v>
      </c>
      <c r="E628" s="38"/>
      <c r="F628" s="38"/>
      <c r="G628" s="38"/>
      <c r="H628" s="116"/>
      <c r="I628" s="38" t="s">
        <v>557</v>
      </c>
      <c r="J628" s="38" t="str">
        <f t="shared" ref="J628:J629" si="21">A628&amp;"_"&amp;I628</f>
        <v>627_なし</v>
      </c>
      <c r="K628" s="38"/>
      <c r="L628" s="38"/>
    </row>
    <row r="629" spans="1:12" x14ac:dyDescent="0.4">
      <c r="A629" s="37" t="str">
        <f t="shared" si="20"/>
        <v>628</v>
      </c>
      <c r="B629" s="38" t="s">
        <v>722</v>
      </c>
      <c r="C629" s="42"/>
      <c r="D629" s="40"/>
      <c r="E629" s="40"/>
      <c r="F629" s="40"/>
      <c r="G629" s="40"/>
      <c r="H629" s="115"/>
      <c r="I629" s="40" t="s">
        <v>558</v>
      </c>
      <c r="J629" s="40" t="str">
        <f t="shared" si="21"/>
        <v>628_あり</v>
      </c>
      <c r="K629" s="40"/>
      <c r="L629" s="40"/>
    </row>
    <row r="630" spans="1:12" s="41" customFormat="1" x14ac:dyDescent="0.4">
      <c r="A630" s="37" t="str">
        <f t="shared" si="20"/>
        <v>629</v>
      </c>
      <c r="B630" s="38" t="s">
        <v>722</v>
      </c>
      <c r="C630" s="42" t="s">
        <v>1444</v>
      </c>
      <c r="D630" s="38" t="s">
        <v>1453</v>
      </c>
      <c r="E630" s="38"/>
      <c r="F630" s="38"/>
      <c r="G630" s="38"/>
      <c r="H630" s="116"/>
      <c r="I630" s="38" t="s">
        <v>1454</v>
      </c>
      <c r="J630" s="38"/>
      <c r="K630" s="38" t="s">
        <v>1457</v>
      </c>
      <c r="L630" s="38"/>
    </row>
    <row r="631" spans="1:12" s="41" customFormat="1" x14ac:dyDescent="0.4">
      <c r="A631" s="37" t="str">
        <f t="shared" si="20"/>
        <v>630</v>
      </c>
      <c r="B631" s="38" t="s">
        <v>722</v>
      </c>
      <c r="C631" s="42"/>
      <c r="D631" s="40"/>
      <c r="E631" s="40"/>
      <c r="F631" s="40"/>
      <c r="G631" s="40"/>
      <c r="H631" s="115"/>
      <c r="I631" s="40" t="s">
        <v>1455</v>
      </c>
      <c r="J631" s="40"/>
      <c r="K631" s="40" t="s">
        <v>1444</v>
      </c>
      <c r="L631" s="40"/>
    </row>
    <row r="632" spans="1:12" x14ac:dyDescent="0.4">
      <c r="A632" s="37" t="str">
        <f t="shared" si="20"/>
        <v>631</v>
      </c>
      <c r="B632" s="38" t="s">
        <v>722</v>
      </c>
      <c r="C632" s="42" t="s">
        <v>1445</v>
      </c>
      <c r="D632" s="43" t="s">
        <v>559</v>
      </c>
      <c r="E632" s="43"/>
      <c r="F632" s="43"/>
      <c r="G632" s="43"/>
      <c r="H632" s="117"/>
      <c r="I632" s="43"/>
      <c r="J632" s="43" t="str">
        <f>A632&amp;"_"&amp;I632</f>
        <v>631_</v>
      </c>
      <c r="K632" s="43"/>
      <c r="L632" s="43"/>
    </row>
    <row r="633" spans="1:12" x14ac:dyDescent="0.4">
      <c r="A633" s="37" t="str">
        <f t="shared" si="20"/>
        <v>632</v>
      </c>
      <c r="B633" s="38" t="s">
        <v>722</v>
      </c>
      <c r="C633" s="42" t="s">
        <v>1446</v>
      </c>
      <c r="D633" s="43" t="s">
        <v>560</v>
      </c>
      <c r="E633" s="43"/>
      <c r="F633" s="43"/>
      <c r="G633" s="43"/>
      <c r="H633" s="117"/>
      <c r="I633" s="43"/>
      <c r="J633" s="43" t="str">
        <f>A633&amp;"_"&amp;I633</f>
        <v>632_</v>
      </c>
      <c r="K633" s="43"/>
      <c r="L633" s="43"/>
    </row>
    <row r="634" spans="1:12" x14ac:dyDescent="0.4">
      <c r="A634" s="37" t="str">
        <f t="shared" si="20"/>
        <v>633</v>
      </c>
      <c r="B634" s="38" t="s">
        <v>722</v>
      </c>
      <c r="C634" s="42" t="s">
        <v>1447</v>
      </c>
      <c r="D634" s="40" t="s">
        <v>561</v>
      </c>
      <c r="E634" s="40"/>
      <c r="F634" s="40"/>
      <c r="G634" s="40"/>
      <c r="H634" s="115"/>
      <c r="I634" s="40"/>
      <c r="J634" s="40" t="str">
        <f>A634&amp;"_"&amp;I634</f>
        <v>633_</v>
      </c>
      <c r="K634" s="40"/>
      <c r="L634" s="40"/>
    </row>
    <row r="635" spans="1:12" x14ac:dyDescent="0.4">
      <c r="A635" s="37" t="str">
        <f t="shared" si="20"/>
        <v>634</v>
      </c>
      <c r="B635" s="38" t="s">
        <v>722</v>
      </c>
      <c r="C635" s="42" t="s">
        <v>1456</v>
      </c>
      <c r="D635" s="38" t="s">
        <v>562</v>
      </c>
      <c r="E635" s="38"/>
      <c r="F635" s="38"/>
      <c r="G635" s="38"/>
      <c r="H635" s="116"/>
      <c r="I635" s="38" t="s">
        <v>557</v>
      </c>
      <c r="J635" s="38" t="str">
        <f>A635&amp;"_"&amp;I635</f>
        <v>634_なし</v>
      </c>
      <c r="K635" s="38"/>
      <c r="L635" s="38"/>
    </row>
    <row r="636" spans="1:12" ht="13.5" thickBot="1" x14ac:dyDescent="0.45">
      <c r="A636" s="37" t="str">
        <f t="shared" si="20"/>
        <v>635</v>
      </c>
      <c r="B636" s="72" t="s">
        <v>722</v>
      </c>
      <c r="C636" s="73"/>
      <c r="D636" s="72"/>
      <c r="E636" s="72"/>
      <c r="F636" s="72"/>
      <c r="G636" s="72"/>
      <c r="H636" s="122"/>
      <c r="I636" s="72" t="s">
        <v>558</v>
      </c>
      <c r="J636" s="72" t="str">
        <f>A636&amp;"_"&amp;I636</f>
        <v>635_あり</v>
      </c>
      <c r="K636" s="72"/>
      <c r="L636" s="72"/>
    </row>
  </sheetData>
  <phoneticPr fontId="1"/>
  <pageMargins left="0.7" right="0.7" top="0.75" bottom="0.75" header="0.3" footer="0.3"/>
  <pageSetup paperSize="9"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3A753-7803-4E97-A16D-668234E35537}">
  <sheetPr codeName="Sheet21"/>
  <dimension ref="A1:H220"/>
  <sheetViews>
    <sheetView workbookViewId="0"/>
  </sheetViews>
  <sheetFormatPr defaultRowHeight="16.5" x14ac:dyDescent="0.4"/>
  <cols>
    <col min="1" max="1" width="6.25" style="14" bestFit="1" customWidth="1"/>
    <col min="2" max="2" width="8.25" style="3" bestFit="1" customWidth="1"/>
    <col min="3" max="3" width="44.125" style="3" bestFit="1" customWidth="1"/>
    <col min="4" max="4" width="74.375" style="3" bestFit="1" customWidth="1"/>
    <col min="5" max="5" width="71.25" style="3" bestFit="1" customWidth="1"/>
    <col min="6" max="6" width="58.25" style="3" bestFit="1" customWidth="1"/>
    <col min="7" max="7" width="79.875" style="3" bestFit="1" customWidth="1"/>
    <col min="8" max="16384" width="9" style="3"/>
  </cols>
  <sheetData>
    <row r="1" spans="1:7" x14ac:dyDescent="0.4">
      <c r="A1" s="13" t="s">
        <v>97</v>
      </c>
      <c r="B1" s="1" t="s">
        <v>153</v>
      </c>
      <c r="C1" s="1" t="s">
        <v>98</v>
      </c>
      <c r="D1" s="1" t="s">
        <v>95</v>
      </c>
      <c r="E1" s="1" t="s">
        <v>711</v>
      </c>
      <c r="F1" s="1" t="s">
        <v>712</v>
      </c>
      <c r="G1" s="1" t="s">
        <v>710</v>
      </c>
    </row>
    <row r="2" spans="1:7" x14ac:dyDescent="0.4">
      <c r="A2" s="14">
        <f>ROW()-1</f>
        <v>1</v>
      </c>
      <c r="B2" s="3" t="s">
        <v>101</v>
      </c>
      <c r="C2" s="3" t="s">
        <v>90</v>
      </c>
      <c r="D2" s="3" t="s">
        <v>2</v>
      </c>
      <c r="G2" s="3" t="str">
        <f>テーブル2[[#This Row],[No.]]&amp;"_"&amp;テーブル2[[#This Row],[TriggerValue]]</f>
        <v>1_○○○○邸</v>
      </c>
    </row>
    <row r="3" spans="1:7" x14ac:dyDescent="0.4">
      <c r="A3" s="14">
        <f t="shared" ref="A3:A30" si="0">ROW()-1</f>
        <v>2</v>
      </c>
      <c r="B3" s="3" t="s">
        <v>100</v>
      </c>
      <c r="C3" s="3" t="s">
        <v>91</v>
      </c>
      <c r="D3" s="3" t="s">
        <v>102</v>
      </c>
      <c r="G3" s="3" t="str">
        <f>テーブル2[[#This Row],[No.]]&amp;"_"&amp;テーブル2[[#This Row],[TriggerValue]]</f>
        <v>2_三菱太郎</v>
      </c>
    </row>
    <row r="4" spans="1:7" x14ac:dyDescent="0.4">
      <c r="A4" s="14">
        <f t="shared" si="0"/>
        <v>3</v>
      </c>
      <c r="B4" s="3" t="s">
        <v>100</v>
      </c>
      <c r="C4" s="3" t="s">
        <v>89</v>
      </c>
      <c r="D4" s="3" t="s">
        <v>96</v>
      </c>
      <c r="G4" s="3" t="str">
        <f>テーブル2[[#This Row],[No.]]&amp;"_"&amp;テーブル2[[#This Row],[TriggerValue]]</f>
        <v>3_戸建住宅</v>
      </c>
    </row>
    <row r="5" spans="1:7" x14ac:dyDescent="0.4">
      <c r="A5" s="14">
        <f t="shared" si="0"/>
        <v>4</v>
      </c>
      <c r="B5" s="3" t="s">
        <v>100</v>
      </c>
      <c r="C5" s="3" t="s">
        <v>88</v>
      </c>
      <c r="D5" s="3" t="s">
        <v>99</v>
      </c>
      <c r="G5" s="3" t="str">
        <f>テーブル2[[#This Row],[No.]]&amp;"_"&amp;テーブル2[[#This Row],[TriggerValue]]</f>
        <v>4_共同住宅</v>
      </c>
    </row>
    <row r="6" spans="1:7" x14ac:dyDescent="0.4">
      <c r="A6" s="14">
        <f t="shared" si="0"/>
        <v>5</v>
      </c>
      <c r="B6" s="3" t="s">
        <v>100</v>
      </c>
      <c r="C6" s="3" t="s">
        <v>93</v>
      </c>
      <c r="D6" s="3" t="s">
        <v>3</v>
      </c>
      <c r="E6" s="3" t="s">
        <v>123</v>
      </c>
      <c r="G6" s="3" t="str">
        <f>テーブル2[[#This Row],[No.]]&amp;"_"&amp;テーブル2[[#This Row],[TriggerValue]]</f>
        <v>5_住戸全体を対象に評価する</v>
      </c>
    </row>
    <row r="7" spans="1:7" x14ac:dyDescent="0.4">
      <c r="A7" s="14">
        <f t="shared" si="0"/>
        <v>6</v>
      </c>
      <c r="B7" s="3" t="s">
        <v>101</v>
      </c>
      <c r="C7" s="3" t="s">
        <v>92</v>
      </c>
      <c r="D7" s="3" t="s">
        <v>4</v>
      </c>
      <c r="E7" s="3" t="s">
        <v>121</v>
      </c>
      <c r="F7" s="3" t="s">
        <v>623</v>
      </c>
      <c r="G7" s="3" t="str">
        <f>テーブル2[[#This Row],[No.]]&amp;"_"&amp;テーブル2[[#This Row],[TriggerValue]]</f>
        <v>6_増改築部分を対象に評価する</v>
      </c>
    </row>
    <row r="8" spans="1:7" x14ac:dyDescent="0.4">
      <c r="A8" s="14">
        <f t="shared" si="0"/>
        <v>7</v>
      </c>
      <c r="B8" s="3" t="s">
        <v>100</v>
      </c>
      <c r="C8" s="3" t="s">
        <v>94</v>
      </c>
      <c r="D8" s="3" t="s">
        <v>11</v>
      </c>
      <c r="E8" s="3" t="s">
        <v>120</v>
      </c>
      <c r="F8" s="3" t="s">
        <v>624</v>
      </c>
      <c r="G8" s="3" t="str">
        <f>テーブル2[[#This Row],[No.]]&amp;"_"&amp;テーブル2[[#This Row],[TriggerValue]]</f>
        <v>7_主たる居室とその他の居室、非居室で構成される</v>
      </c>
    </row>
    <row r="9" spans="1:7" x14ac:dyDescent="0.4">
      <c r="A9" s="14">
        <f t="shared" si="0"/>
        <v>8</v>
      </c>
      <c r="B9" s="3" t="s">
        <v>100</v>
      </c>
      <c r="C9" s="3" t="s">
        <v>94</v>
      </c>
      <c r="D9" s="3" t="s">
        <v>12</v>
      </c>
      <c r="E9" s="3" t="s">
        <v>120</v>
      </c>
      <c r="G9" s="3" t="str">
        <f>テーブル2[[#This Row],[No.]]&amp;"_"&amp;テーブル2[[#This Row],[TriggerValue]]</f>
        <v>8_上記以外の構成</v>
      </c>
    </row>
    <row r="10" spans="1:7" x14ac:dyDescent="0.4">
      <c r="A10" s="14">
        <f t="shared" si="0"/>
        <v>9</v>
      </c>
      <c r="B10" s="3" t="s">
        <v>100</v>
      </c>
      <c r="C10" s="3" t="s">
        <v>105</v>
      </c>
      <c r="D10" s="3" t="s">
        <v>115</v>
      </c>
      <c r="E10" s="3" t="s">
        <v>119</v>
      </c>
      <c r="G10" s="3" t="str">
        <f>テーブル2[[#This Row],[No.]]&amp;"_"&amp;テーブル2[[#This Row],[TriggerValue]]</f>
        <v>9_有（その他の居室）</v>
      </c>
    </row>
    <row r="11" spans="1:7" x14ac:dyDescent="0.4">
      <c r="A11" s="14">
        <f t="shared" si="0"/>
        <v>10</v>
      </c>
      <c r="B11" s="3" t="s">
        <v>100</v>
      </c>
      <c r="C11" s="3" t="s">
        <v>105</v>
      </c>
      <c r="D11" s="3" t="s">
        <v>116</v>
      </c>
      <c r="E11" s="3" t="s">
        <v>119</v>
      </c>
      <c r="F11" s="3" t="s">
        <v>625</v>
      </c>
      <c r="G11" s="3" t="str">
        <f>テーブル2[[#This Row],[No.]]&amp;"_"&amp;テーブル2[[#This Row],[TriggerValue]]</f>
        <v>10_無（その他の居室）</v>
      </c>
    </row>
    <row r="12" spans="1:7" x14ac:dyDescent="0.4">
      <c r="A12" s="14">
        <f t="shared" si="0"/>
        <v>11</v>
      </c>
      <c r="B12" s="3" t="s">
        <v>100</v>
      </c>
      <c r="C12" s="3" t="s">
        <v>106</v>
      </c>
      <c r="D12" s="3" t="s">
        <v>117</v>
      </c>
      <c r="F12" s="2"/>
      <c r="G12" s="3" t="str">
        <f>テーブル2[[#This Row],[No.]]&amp;"_"&amp;テーブル2[[#This Row],[TriggerValue]]</f>
        <v>11_有（非居室）</v>
      </c>
    </row>
    <row r="13" spans="1:7" x14ac:dyDescent="0.4">
      <c r="A13" s="14">
        <f t="shared" si="0"/>
        <v>12</v>
      </c>
      <c r="B13" s="3" t="s">
        <v>100</v>
      </c>
      <c r="C13" s="3" t="s">
        <v>106</v>
      </c>
      <c r="D13" s="3" t="s">
        <v>118</v>
      </c>
      <c r="F13" s="2"/>
      <c r="G13" s="3" t="str">
        <f>テーブル2[[#This Row],[No.]]&amp;"_"&amp;テーブル2[[#This Row],[TriggerValue]]</f>
        <v>12_無（非居室）</v>
      </c>
    </row>
    <row r="14" spans="1:7" x14ac:dyDescent="0.4">
      <c r="A14" s="14">
        <f t="shared" si="0"/>
        <v>13</v>
      </c>
      <c r="B14" s="3" t="s">
        <v>100</v>
      </c>
      <c r="C14" s="3" t="s">
        <v>104</v>
      </c>
      <c r="D14" s="4">
        <v>29.81</v>
      </c>
      <c r="F14" s="2"/>
      <c r="G14" s="3" t="str">
        <f>テーブル2[[#This Row],[No.]]&amp;"_"&amp;テーブル2[[#This Row],[TriggerValue]]</f>
        <v>13_29.81</v>
      </c>
    </row>
    <row r="15" spans="1:7" x14ac:dyDescent="0.4">
      <c r="A15" s="14">
        <f t="shared" si="0"/>
        <v>14</v>
      </c>
      <c r="B15" s="3" t="s">
        <v>100</v>
      </c>
      <c r="C15" s="3" t="s">
        <v>107</v>
      </c>
      <c r="D15" s="4">
        <v>51.34</v>
      </c>
      <c r="F15" s="2"/>
      <c r="G15" s="3" t="str">
        <f>テーブル2[[#This Row],[No.]]&amp;"_"&amp;テーブル2[[#This Row],[TriggerValue]]</f>
        <v>14_51.34</v>
      </c>
    </row>
    <row r="16" spans="1:7" x14ac:dyDescent="0.4">
      <c r="A16" s="14">
        <f t="shared" si="0"/>
        <v>15</v>
      </c>
      <c r="B16" s="3" t="s">
        <v>100</v>
      </c>
      <c r="C16" s="3" t="s">
        <v>108</v>
      </c>
      <c r="D16" s="4">
        <v>120.08</v>
      </c>
      <c r="F16" s="2"/>
      <c r="G16" s="3" t="str">
        <f>テーブル2[[#This Row],[No.]]&amp;"_"&amp;テーブル2[[#This Row],[TriggerValue]]</f>
        <v>15_120.08</v>
      </c>
    </row>
    <row r="17" spans="1:7" x14ac:dyDescent="0.4">
      <c r="A17" s="14">
        <f t="shared" si="0"/>
        <v>16</v>
      </c>
      <c r="B17" s="3" t="s">
        <v>100</v>
      </c>
      <c r="C17" s="3" t="s">
        <v>109</v>
      </c>
      <c r="D17" s="3" t="s">
        <v>13</v>
      </c>
      <c r="F17" s="2"/>
      <c r="G17" s="3" t="str">
        <f>テーブル2[[#This Row],[No.]]&amp;"_"&amp;テーブル2[[#This Row],[TriggerValue]]</f>
        <v>16_1地域</v>
      </c>
    </row>
    <row r="18" spans="1:7" x14ac:dyDescent="0.4">
      <c r="A18" s="14">
        <f t="shared" si="0"/>
        <v>17</v>
      </c>
      <c r="B18" s="3" t="s">
        <v>100</v>
      </c>
      <c r="C18" s="3" t="s">
        <v>109</v>
      </c>
      <c r="D18" s="3" t="s">
        <v>14</v>
      </c>
      <c r="F18" s="2"/>
      <c r="G18" s="3" t="str">
        <f>テーブル2[[#This Row],[No.]]&amp;"_"&amp;テーブル2[[#This Row],[TriggerValue]]</f>
        <v>17_2地域</v>
      </c>
    </row>
    <row r="19" spans="1:7" x14ac:dyDescent="0.4">
      <c r="A19" s="14">
        <f t="shared" si="0"/>
        <v>18</v>
      </c>
      <c r="B19" s="3" t="s">
        <v>100</v>
      </c>
      <c r="C19" s="3" t="s">
        <v>109</v>
      </c>
      <c r="D19" s="3" t="s">
        <v>15</v>
      </c>
      <c r="F19" s="2"/>
      <c r="G19" s="3" t="str">
        <f>テーブル2[[#This Row],[No.]]&amp;"_"&amp;テーブル2[[#This Row],[TriggerValue]]</f>
        <v>18_3地域</v>
      </c>
    </row>
    <row r="20" spans="1:7" x14ac:dyDescent="0.4">
      <c r="A20" s="14">
        <f t="shared" si="0"/>
        <v>19</v>
      </c>
      <c r="B20" s="3" t="s">
        <v>100</v>
      </c>
      <c r="C20" s="3" t="s">
        <v>109</v>
      </c>
      <c r="D20" s="3" t="s">
        <v>16</v>
      </c>
      <c r="F20" s="2"/>
      <c r="G20" s="3" t="str">
        <f>テーブル2[[#This Row],[No.]]&amp;"_"&amp;テーブル2[[#This Row],[TriggerValue]]</f>
        <v>19_4地域</v>
      </c>
    </row>
    <row r="21" spans="1:7" x14ac:dyDescent="0.4">
      <c r="A21" s="14">
        <f t="shared" si="0"/>
        <v>20</v>
      </c>
      <c r="B21" s="3" t="s">
        <v>100</v>
      </c>
      <c r="C21" s="3" t="s">
        <v>109</v>
      </c>
      <c r="D21" s="3" t="s">
        <v>17</v>
      </c>
      <c r="F21" s="2"/>
      <c r="G21" s="3" t="str">
        <f>テーブル2[[#This Row],[No.]]&amp;"_"&amp;テーブル2[[#This Row],[TriggerValue]]</f>
        <v>20_5地域</v>
      </c>
    </row>
    <row r="22" spans="1:7" x14ac:dyDescent="0.4">
      <c r="A22" s="14">
        <f t="shared" si="0"/>
        <v>21</v>
      </c>
      <c r="B22" s="3" t="s">
        <v>100</v>
      </c>
      <c r="C22" s="3" t="s">
        <v>109</v>
      </c>
      <c r="D22" s="3" t="s">
        <v>154</v>
      </c>
      <c r="F22" s="2"/>
      <c r="G22" s="3" t="str">
        <f>テーブル2[[#This Row],[No.]]&amp;"_"&amp;テーブル2[[#This Row],[TriggerValue]]</f>
        <v>21_6地域</v>
      </c>
    </row>
    <row r="23" spans="1:7" x14ac:dyDescent="0.4">
      <c r="A23" s="14">
        <f t="shared" si="0"/>
        <v>22</v>
      </c>
      <c r="B23" s="3" t="s">
        <v>100</v>
      </c>
      <c r="C23" s="3" t="s">
        <v>109</v>
      </c>
      <c r="D23" s="3" t="s">
        <v>19</v>
      </c>
      <c r="F23" s="2"/>
      <c r="G23" s="3" t="str">
        <f>テーブル2[[#This Row],[No.]]&amp;"_"&amp;テーブル2[[#This Row],[TriggerValue]]</f>
        <v>22_7地域</v>
      </c>
    </row>
    <row r="24" spans="1:7" x14ac:dyDescent="0.4">
      <c r="A24" s="14">
        <f t="shared" si="0"/>
        <v>23</v>
      </c>
      <c r="B24" s="3" t="s">
        <v>100</v>
      </c>
      <c r="C24" s="3" t="s">
        <v>109</v>
      </c>
      <c r="D24" s="3" t="s">
        <v>20</v>
      </c>
      <c r="F24" s="2"/>
      <c r="G24" s="3" t="str">
        <f>テーブル2[[#This Row],[No.]]&amp;"_"&amp;テーブル2[[#This Row],[TriggerValue]]</f>
        <v>23_8地域</v>
      </c>
    </row>
    <row r="25" spans="1:7" s="5" customFormat="1" x14ac:dyDescent="0.4">
      <c r="A25" s="14">
        <f t="shared" si="0"/>
        <v>24</v>
      </c>
      <c r="B25" s="5" t="s">
        <v>100</v>
      </c>
      <c r="C25" s="5" t="s">
        <v>110</v>
      </c>
      <c r="D25" s="5" t="s">
        <v>21</v>
      </c>
      <c r="E25" s="5" t="s">
        <v>114</v>
      </c>
      <c r="F25" s="5" t="s">
        <v>122</v>
      </c>
      <c r="G25" s="5" t="str">
        <f>テーブル2[[#This Row],[No.]]&amp;"_"&amp;テーブル2[[#This Row],[TriggerValue]]</f>
        <v>24_指定しない</v>
      </c>
    </row>
    <row r="26" spans="1:7" s="5" customFormat="1" x14ac:dyDescent="0.4">
      <c r="A26" s="14">
        <f t="shared" si="0"/>
        <v>25</v>
      </c>
      <c r="B26" s="5" t="s">
        <v>100</v>
      </c>
      <c r="C26" s="5" t="s">
        <v>110</v>
      </c>
      <c r="D26" s="5" t="s">
        <v>103</v>
      </c>
      <c r="E26" s="5" t="s">
        <v>113</v>
      </c>
      <c r="G26" s="5" t="str">
        <f>テーブル2[[#This Row],[No.]]&amp;"_"&amp;テーブル2[[#This Row],[TriggerValue]]</f>
        <v>25_指定する</v>
      </c>
    </row>
    <row r="27" spans="1:7" x14ac:dyDescent="0.4">
      <c r="A27" s="14">
        <f t="shared" si="0"/>
        <v>26</v>
      </c>
      <c r="B27" s="3" t="s">
        <v>100</v>
      </c>
      <c r="C27" s="3" t="s">
        <v>111</v>
      </c>
      <c r="D27" s="3" t="s">
        <v>22</v>
      </c>
      <c r="E27" s="5"/>
      <c r="F27" s="5"/>
      <c r="G27" s="3" t="str">
        <f>テーブル2[[#This Row],[No.]]&amp;"_"&amp;テーブル2[[#This Row],[TriggerValue]]</f>
        <v>26_A1区分（年間の日射量が特に少ない地域）</v>
      </c>
    </row>
    <row r="28" spans="1:7" x14ac:dyDescent="0.4">
      <c r="A28" s="14">
        <f t="shared" si="0"/>
        <v>27</v>
      </c>
      <c r="B28" s="3" t="s">
        <v>100</v>
      </c>
      <c r="C28" s="3" t="s">
        <v>111</v>
      </c>
      <c r="D28" s="3" t="s">
        <v>23</v>
      </c>
      <c r="E28" s="5"/>
      <c r="F28" s="5"/>
      <c r="G28" s="3" t="str">
        <f>テーブル2[[#This Row],[No.]]&amp;"_"&amp;テーブル2[[#This Row],[TriggerValue]]</f>
        <v>27_A2区分（年間の日射量が少ない地域）</v>
      </c>
    </row>
    <row r="29" spans="1:7" x14ac:dyDescent="0.4">
      <c r="A29" s="14">
        <f t="shared" si="0"/>
        <v>28</v>
      </c>
      <c r="B29" s="3" t="s">
        <v>100</v>
      </c>
      <c r="C29" s="3" t="s">
        <v>111</v>
      </c>
      <c r="D29" s="3" t="s">
        <v>24</v>
      </c>
      <c r="E29" s="5"/>
      <c r="F29" s="5"/>
      <c r="G29" s="3" t="str">
        <f>テーブル2[[#This Row],[No.]]&amp;"_"&amp;テーブル2[[#This Row],[TriggerValue]]</f>
        <v>28_A3区分（年間の日射量が中程度の地域）</v>
      </c>
    </row>
    <row r="30" spans="1:7" x14ac:dyDescent="0.4">
      <c r="A30" s="14">
        <f t="shared" si="0"/>
        <v>29</v>
      </c>
      <c r="B30" s="3" t="s">
        <v>100</v>
      </c>
      <c r="C30" s="3" t="s">
        <v>111</v>
      </c>
      <c r="D30" s="3" t="s">
        <v>25</v>
      </c>
      <c r="E30" s="5"/>
      <c r="F30" s="5"/>
      <c r="G30" s="3" t="str">
        <f>テーブル2[[#This Row],[No.]]&amp;"_"&amp;テーブル2[[#This Row],[TriggerValue]]</f>
        <v>29_A4区分（年間の日射量が多い地域）</v>
      </c>
    </row>
    <row r="31" spans="1:7" x14ac:dyDescent="0.4">
      <c r="A31" s="14">
        <f>ROW()-1</f>
        <v>30</v>
      </c>
      <c r="B31" s="3" t="s">
        <v>100</v>
      </c>
      <c r="C31" s="3" t="s">
        <v>111</v>
      </c>
      <c r="D31" s="3" t="s">
        <v>26</v>
      </c>
      <c r="E31" s="5"/>
      <c r="F31" s="5"/>
      <c r="G31" s="3" t="str">
        <f>テーブル2[[#This Row],[No.]]&amp;"_"&amp;テーブル2[[#This Row],[TriggerValue]]</f>
        <v>30_A5区分（年間の日射量が特に多い地域）</v>
      </c>
    </row>
    <row r="32" spans="1:7" x14ac:dyDescent="0.4">
      <c r="A32" s="15">
        <f t="shared" ref="A32:A64" si="1">ROW()-1</f>
        <v>31</v>
      </c>
      <c r="B32" s="3" t="s">
        <v>28</v>
      </c>
      <c r="C32" s="3" t="s">
        <v>627</v>
      </c>
      <c r="D32" s="3" t="s">
        <v>34</v>
      </c>
      <c r="E32" s="3" t="s">
        <v>155</v>
      </c>
      <c r="G32" s="3" t="str">
        <f>テーブル2[[#This Row],[No.]]&amp;"_"&amp;テーブル2[[#This Row],[TriggerValue]]</f>
        <v>31_当該住戸の外皮面積を用いて外皮性能を評価する</v>
      </c>
    </row>
    <row r="33" spans="1:7" x14ac:dyDescent="0.4">
      <c r="A33" s="15">
        <f t="shared" si="1"/>
        <v>32</v>
      </c>
      <c r="B33" s="3" t="s">
        <v>28</v>
      </c>
      <c r="D33" s="3" t="s">
        <v>35</v>
      </c>
      <c r="E33" s="3" t="s">
        <v>155</v>
      </c>
      <c r="F33" s="3" t="s">
        <v>626</v>
      </c>
      <c r="G33" s="3" t="str">
        <f>テーブル2[[#This Row],[No.]]&amp;"_"&amp;テーブル2[[#This Row],[TriggerValue]]</f>
        <v>32_仕様基準により外皮性能を評価する</v>
      </c>
    </row>
    <row r="34" spans="1:7" x14ac:dyDescent="0.4">
      <c r="A34" s="15">
        <f t="shared" si="1"/>
        <v>33</v>
      </c>
      <c r="B34" s="3" t="s">
        <v>28</v>
      </c>
      <c r="D34" s="3" t="s">
        <v>36</v>
      </c>
      <c r="E34" s="3" t="s">
        <v>155</v>
      </c>
      <c r="F34" s="3" t="s">
        <v>626</v>
      </c>
      <c r="G34" s="3" t="str">
        <f>テーブル2[[#This Row],[No.]]&amp;"_"&amp;テーブル2[[#This Row],[TriggerValue]]</f>
        <v>33_誘導仕様基準により外皮性能を評価する（住戸全体を対象に評価）</v>
      </c>
    </row>
    <row r="35" spans="1:7" x14ac:dyDescent="0.4">
      <c r="A35" s="15">
        <f t="shared" si="1"/>
        <v>34</v>
      </c>
      <c r="B35" s="3" t="s">
        <v>28</v>
      </c>
      <c r="D35" s="3" t="s">
        <v>37</v>
      </c>
      <c r="E35" s="3" t="s">
        <v>155</v>
      </c>
      <c r="F35" s="3" t="s">
        <v>143</v>
      </c>
      <c r="G35" s="3" t="str">
        <f>テーブル2[[#This Row],[No.]]&amp;"_"&amp;テーブル2[[#This Row],[TriggerValue]]</f>
        <v>34_誘導仕様基準により外皮性能を評価する（増改築部分を対象に評価）</v>
      </c>
    </row>
    <row r="36" spans="1:7" x14ac:dyDescent="0.4">
      <c r="A36" s="15">
        <f t="shared" si="1"/>
        <v>35</v>
      </c>
      <c r="B36" s="3" t="s">
        <v>28</v>
      </c>
      <c r="C36" s="3" t="s">
        <v>628</v>
      </c>
      <c r="D36" s="7" t="s">
        <v>163</v>
      </c>
      <c r="F36" s="5"/>
      <c r="G36" s="3" t="str">
        <f>テーブル2[[#This Row],[No.]]&amp;"_"&amp;テーブル2[[#This Row],[TriggerValue]]</f>
        <v>35_307.51</v>
      </c>
    </row>
    <row r="37" spans="1:7" x14ac:dyDescent="0.4">
      <c r="A37" s="15">
        <f t="shared" si="1"/>
        <v>36</v>
      </c>
      <c r="B37" s="3" t="s">
        <v>28</v>
      </c>
      <c r="C37" s="3" t="s">
        <v>629</v>
      </c>
      <c r="D37" s="7" t="s">
        <v>161</v>
      </c>
      <c r="F37" s="5"/>
      <c r="G37" s="3" t="str">
        <f>テーブル2[[#This Row],[No.]]&amp;"_"&amp;テーブル2[[#This Row],[TriggerValue]]</f>
        <v>36_0.87</v>
      </c>
    </row>
    <row r="38" spans="1:7" x14ac:dyDescent="0.4">
      <c r="A38" s="15">
        <f t="shared" si="1"/>
        <v>37</v>
      </c>
      <c r="B38" s="3" t="s">
        <v>28</v>
      </c>
      <c r="D38" s="7" t="s">
        <v>159</v>
      </c>
      <c r="F38" s="5"/>
      <c r="G38" s="3" t="str">
        <f>テーブル2[[#This Row],[No.]]&amp;"_"&amp;テーブル2[[#This Row],[TriggerValue]]</f>
        <v>37_0.60</v>
      </c>
    </row>
    <row r="39" spans="1:7" x14ac:dyDescent="0.4">
      <c r="A39" s="15">
        <f t="shared" si="1"/>
        <v>38</v>
      </c>
      <c r="B39" s="3" t="s">
        <v>28</v>
      </c>
      <c r="C39" s="3" t="s">
        <v>630</v>
      </c>
      <c r="D39" s="7" t="s">
        <v>165</v>
      </c>
      <c r="F39" s="5"/>
      <c r="G39" s="3" t="str">
        <f>テーブル2[[#This Row],[No.]]&amp;"_"&amp;テーブル2[[#This Row],[TriggerValue]]</f>
        <v>38_2.8</v>
      </c>
    </row>
    <row r="40" spans="1:7" x14ac:dyDescent="0.4">
      <c r="A40" s="15">
        <f t="shared" si="1"/>
        <v>39</v>
      </c>
      <c r="B40" s="3" t="s">
        <v>28</v>
      </c>
      <c r="D40" s="7" t="s">
        <v>167</v>
      </c>
      <c r="F40" s="5"/>
      <c r="G40" s="3" t="str">
        <f>テーブル2[[#This Row],[No.]]&amp;"_"&amp;テーブル2[[#This Row],[TriggerValue]]</f>
        <v>39_1.7</v>
      </c>
    </row>
    <row r="41" spans="1:7" x14ac:dyDescent="0.4">
      <c r="A41" s="15">
        <f t="shared" si="1"/>
        <v>40</v>
      </c>
      <c r="B41" s="3" t="s">
        <v>28</v>
      </c>
      <c r="C41" s="3" t="s">
        <v>631</v>
      </c>
      <c r="D41" s="7" t="s">
        <v>169</v>
      </c>
      <c r="F41" s="5"/>
      <c r="G41" s="3" t="str">
        <f>テーブル2[[#This Row],[No.]]&amp;"_"&amp;テーブル2[[#This Row],[TriggerValue]]</f>
        <v>40_4.3</v>
      </c>
    </row>
    <row r="42" spans="1:7" x14ac:dyDescent="0.4">
      <c r="A42" s="15">
        <f t="shared" si="1"/>
        <v>41</v>
      </c>
      <c r="B42" s="3" t="s">
        <v>28</v>
      </c>
      <c r="D42" s="7" t="s">
        <v>157</v>
      </c>
      <c r="F42" s="5"/>
      <c r="G42" s="3" t="str">
        <f>テーブル2[[#This Row],[No.]]&amp;"_"&amp;テーブル2[[#This Row],[TriggerValue]]</f>
        <v>41_3.0</v>
      </c>
    </row>
    <row r="43" spans="1:7" x14ac:dyDescent="0.4">
      <c r="A43" s="15">
        <f t="shared" si="1"/>
        <v>42</v>
      </c>
      <c r="B43" s="3" t="s">
        <v>28</v>
      </c>
      <c r="C43" s="3" t="s">
        <v>632</v>
      </c>
      <c r="D43" s="3" t="s">
        <v>39</v>
      </c>
      <c r="F43" s="5"/>
      <c r="G43" s="3" t="str">
        <f>テーブル2[[#This Row],[No.]]&amp;"_"&amp;テーブル2[[#This Row],[TriggerValue]]</f>
        <v>42_評価しない、または利用しない</v>
      </c>
    </row>
    <row r="44" spans="1:7" x14ac:dyDescent="0.4">
      <c r="A44" s="15">
        <f t="shared" si="1"/>
        <v>43</v>
      </c>
      <c r="B44" s="3" t="s">
        <v>28</v>
      </c>
      <c r="D44" s="3" t="s">
        <v>199</v>
      </c>
      <c r="F44" s="5"/>
      <c r="G44" s="3" t="str">
        <f>テーブル2[[#This Row],[No.]]&amp;"_"&amp;テーブル2[[#This Row],[TriggerValue]]</f>
        <v>43_利用する（換気回数5回/h相当以上）</v>
      </c>
    </row>
    <row r="45" spans="1:7" x14ac:dyDescent="0.4">
      <c r="A45" s="15">
        <f t="shared" si="1"/>
        <v>44</v>
      </c>
      <c r="B45" s="3" t="s">
        <v>28</v>
      </c>
      <c r="D45" s="3" t="s">
        <v>200</v>
      </c>
      <c r="F45" s="5"/>
      <c r="G45" s="3" t="str">
        <f>テーブル2[[#This Row],[No.]]&amp;"_"&amp;テーブル2[[#This Row],[TriggerValue]]</f>
        <v>44_利用する（換気回数20回/h相当以上）</v>
      </c>
    </row>
    <row r="46" spans="1:7" x14ac:dyDescent="0.4">
      <c r="A46" s="15">
        <f t="shared" si="1"/>
        <v>45</v>
      </c>
      <c r="B46" s="3" t="s">
        <v>28</v>
      </c>
      <c r="C46" s="3" t="s">
        <v>633</v>
      </c>
      <c r="D46" s="3" t="s">
        <v>39</v>
      </c>
      <c r="F46" s="5"/>
      <c r="G46" s="3" t="str">
        <f>テーブル2[[#This Row],[No.]]&amp;"_"&amp;テーブル2[[#This Row],[TriggerValue]]</f>
        <v>45_評価しない、または利用しない</v>
      </c>
    </row>
    <row r="47" spans="1:7" x14ac:dyDescent="0.4">
      <c r="A47" s="15">
        <f t="shared" si="1"/>
        <v>46</v>
      </c>
      <c r="B47" s="3" t="s">
        <v>28</v>
      </c>
      <c r="D47" s="3" t="s">
        <v>199</v>
      </c>
      <c r="F47" s="5"/>
      <c r="G47" s="3" t="str">
        <f>テーブル2[[#This Row],[No.]]&amp;"_"&amp;テーブル2[[#This Row],[TriggerValue]]</f>
        <v>46_利用する（換気回数5回/h相当以上）</v>
      </c>
    </row>
    <row r="48" spans="1:7" x14ac:dyDescent="0.4">
      <c r="A48" s="15">
        <f t="shared" si="1"/>
        <v>47</v>
      </c>
      <c r="B48" s="3" t="s">
        <v>28</v>
      </c>
      <c r="D48" s="3" t="s">
        <v>200</v>
      </c>
      <c r="F48" s="5"/>
      <c r="G48" s="3" t="str">
        <f>テーブル2[[#This Row],[No.]]&amp;"_"&amp;テーブル2[[#This Row],[TriggerValue]]</f>
        <v>47_利用する（換気回数20回/h相当以上）</v>
      </c>
    </row>
    <row r="49" spans="1:7" x14ac:dyDescent="0.4">
      <c r="A49" s="15">
        <f t="shared" si="1"/>
        <v>48</v>
      </c>
      <c r="B49" s="3" t="s">
        <v>28</v>
      </c>
      <c r="C49" s="3" t="s">
        <v>634</v>
      </c>
      <c r="D49" s="3" t="s">
        <v>39</v>
      </c>
      <c r="F49" s="5"/>
      <c r="G49" s="3" t="str">
        <f>テーブル2[[#This Row],[No.]]&amp;"_"&amp;テーブル2[[#This Row],[TriggerValue]]</f>
        <v>48_評価しない、または利用しない</v>
      </c>
    </row>
    <row r="50" spans="1:7" x14ac:dyDescent="0.4">
      <c r="A50" s="15">
        <f t="shared" si="1"/>
        <v>49</v>
      </c>
      <c r="B50" s="3" t="s">
        <v>28</v>
      </c>
      <c r="D50" s="3" t="s">
        <v>152</v>
      </c>
      <c r="F50" s="5"/>
      <c r="G50" s="3" t="str">
        <f>テーブル2[[#This Row],[No.]]&amp;"_"&amp;テーブル2[[#This Row],[TriggerValue]]</f>
        <v>49_利用する</v>
      </c>
    </row>
    <row r="51" spans="1:7" x14ac:dyDescent="0.4">
      <c r="A51" s="15">
        <f t="shared" si="1"/>
        <v>50</v>
      </c>
      <c r="B51" s="3" t="s">
        <v>28</v>
      </c>
      <c r="C51" s="3" t="s">
        <v>147</v>
      </c>
      <c r="D51" s="3" t="s">
        <v>39</v>
      </c>
      <c r="E51" s="3" t="s">
        <v>171</v>
      </c>
      <c r="G51" s="3" t="str">
        <f>テーブル2[[#This Row],[No.]]&amp;"_"&amp;テーブル2[[#This Row],[TriggerValue]]</f>
        <v>50_評価しない、または利用しない</v>
      </c>
    </row>
    <row r="52" spans="1:7" x14ac:dyDescent="0.4">
      <c r="A52" s="15">
        <f t="shared" si="1"/>
        <v>51</v>
      </c>
      <c r="B52" s="3" t="s">
        <v>28</v>
      </c>
      <c r="D52" s="3" t="s">
        <v>42</v>
      </c>
      <c r="E52" s="3" t="s">
        <v>171</v>
      </c>
      <c r="F52" s="3" t="s">
        <v>171</v>
      </c>
      <c r="G52" s="3" t="str">
        <f>テーブル2[[#This Row],[No.]]&amp;"_"&amp;テーブル2[[#This Row],[TriggerValue]]</f>
        <v>51_通年利用する</v>
      </c>
    </row>
    <row r="53" spans="1:7" x14ac:dyDescent="0.4">
      <c r="A53" s="15">
        <f t="shared" si="1"/>
        <v>52</v>
      </c>
      <c r="B53" s="3" t="s">
        <v>28</v>
      </c>
      <c r="C53" s="3" t="s">
        <v>148</v>
      </c>
      <c r="D53" s="3">
        <v>10</v>
      </c>
      <c r="F53" s="5"/>
      <c r="G53" s="3" t="str">
        <f>テーブル2[[#This Row],[No.]]&amp;"_"&amp;テーブル2[[#This Row],[TriggerValue]]</f>
        <v>52_10</v>
      </c>
    </row>
    <row r="54" spans="1:7" x14ac:dyDescent="0.4">
      <c r="A54" s="15">
        <f t="shared" si="1"/>
        <v>53</v>
      </c>
      <c r="B54" s="3" t="s">
        <v>28</v>
      </c>
      <c r="D54" s="3">
        <v>20</v>
      </c>
      <c r="F54" s="5"/>
      <c r="G54" s="3" t="str">
        <f>テーブル2[[#This Row],[No.]]&amp;"_"&amp;テーブル2[[#This Row],[TriggerValue]]</f>
        <v>53_20</v>
      </c>
    </row>
    <row r="55" spans="1:7" x14ac:dyDescent="0.4">
      <c r="A55" s="15">
        <f t="shared" si="1"/>
        <v>54</v>
      </c>
      <c r="B55" s="3" t="s">
        <v>28</v>
      </c>
      <c r="D55" s="3">
        <v>30</v>
      </c>
      <c r="F55" s="5"/>
      <c r="G55" s="3" t="str">
        <f>テーブル2[[#This Row],[No.]]&amp;"_"&amp;テーブル2[[#This Row],[TriggerValue]]</f>
        <v>54_30</v>
      </c>
    </row>
    <row r="56" spans="1:7" x14ac:dyDescent="0.4">
      <c r="A56" s="15">
        <f t="shared" si="1"/>
        <v>55</v>
      </c>
      <c r="B56" s="3" t="s">
        <v>28</v>
      </c>
      <c r="D56" s="3">
        <v>40</v>
      </c>
      <c r="F56" s="5"/>
      <c r="G56" s="3" t="str">
        <f>テーブル2[[#This Row],[No.]]&amp;"_"&amp;テーブル2[[#This Row],[TriggerValue]]</f>
        <v>55_40</v>
      </c>
    </row>
    <row r="57" spans="1:7" x14ac:dyDescent="0.4">
      <c r="A57" s="15">
        <f t="shared" si="1"/>
        <v>56</v>
      </c>
      <c r="B57" s="3" t="s">
        <v>28</v>
      </c>
      <c r="D57" s="3">
        <v>50</v>
      </c>
      <c r="F57" s="5"/>
      <c r="G57" s="3" t="str">
        <f>テーブル2[[#This Row],[No.]]&amp;"_"&amp;テーブル2[[#This Row],[TriggerValue]]</f>
        <v>56_50</v>
      </c>
    </row>
    <row r="58" spans="1:7" x14ac:dyDescent="0.4">
      <c r="A58" s="15">
        <f t="shared" si="1"/>
        <v>57</v>
      </c>
      <c r="B58" s="3" t="s">
        <v>28</v>
      </c>
      <c r="D58" s="3">
        <v>60</v>
      </c>
      <c r="F58" s="5"/>
      <c r="G58" s="3" t="str">
        <f>テーブル2[[#This Row],[No.]]&amp;"_"&amp;テーブル2[[#This Row],[TriggerValue]]</f>
        <v>57_60</v>
      </c>
    </row>
    <row r="59" spans="1:7" x14ac:dyDescent="0.4">
      <c r="A59" s="15">
        <f t="shared" si="1"/>
        <v>58</v>
      </c>
      <c r="B59" s="3" t="s">
        <v>28</v>
      </c>
      <c r="D59" s="3">
        <v>70</v>
      </c>
      <c r="F59" s="5"/>
      <c r="G59" s="3" t="str">
        <f>テーブル2[[#This Row],[No.]]&amp;"_"&amp;テーブル2[[#This Row],[TriggerValue]]</f>
        <v>58_70</v>
      </c>
    </row>
    <row r="60" spans="1:7" x14ac:dyDescent="0.4">
      <c r="A60" s="15">
        <f t="shared" si="1"/>
        <v>59</v>
      </c>
      <c r="B60" s="3" t="s">
        <v>28</v>
      </c>
      <c r="D60" s="3">
        <v>80</v>
      </c>
      <c r="F60" s="5"/>
      <c r="G60" s="3" t="str">
        <f>テーブル2[[#This Row],[No.]]&amp;"_"&amp;テーブル2[[#This Row],[TriggerValue]]</f>
        <v>59_80</v>
      </c>
    </row>
    <row r="61" spans="1:7" x14ac:dyDescent="0.4">
      <c r="A61" s="15">
        <f t="shared" si="1"/>
        <v>60</v>
      </c>
      <c r="B61" s="3" t="s">
        <v>28</v>
      </c>
      <c r="D61" s="3">
        <v>90</v>
      </c>
      <c r="F61" s="5"/>
      <c r="G61" s="3" t="str">
        <f>テーブル2[[#This Row],[No.]]&amp;"_"&amp;テーブル2[[#This Row],[TriggerValue]]</f>
        <v>60_90</v>
      </c>
    </row>
    <row r="62" spans="1:7" x14ac:dyDescent="0.4">
      <c r="A62" s="15">
        <f t="shared" si="1"/>
        <v>61</v>
      </c>
      <c r="B62" s="3" t="s">
        <v>28</v>
      </c>
      <c r="D62" s="3">
        <v>100</v>
      </c>
      <c r="F62" s="5"/>
      <c r="G62" s="3" t="str">
        <f>テーブル2[[#This Row],[No.]]&amp;"_"&amp;テーブル2[[#This Row],[TriggerValue]]</f>
        <v>61_100</v>
      </c>
    </row>
    <row r="63" spans="1:7" x14ac:dyDescent="0.4">
      <c r="A63" s="15">
        <f t="shared" si="1"/>
        <v>62</v>
      </c>
      <c r="B63" s="3" t="s">
        <v>28</v>
      </c>
      <c r="C63" s="3" t="s">
        <v>149</v>
      </c>
      <c r="D63" s="3" t="s">
        <v>46</v>
      </c>
      <c r="F63" s="5"/>
      <c r="G63" s="3" t="str">
        <f>テーブル2[[#This Row],[No.]]&amp;"_"&amp;テーブル2[[#This Row],[TriggerValue]]</f>
        <v>62_断熱区画外</v>
      </c>
    </row>
    <row r="64" spans="1:7" x14ac:dyDescent="0.4">
      <c r="A64" s="15">
        <f t="shared" si="1"/>
        <v>63</v>
      </c>
      <c r="B64" s="3" t="s">
        <v>28</v>
      </c>
      <c r="D64" s="3" t="s">
        <v>47</v>
      </c>
      <c r="F64" s="5"/>
      <c r="G64" s="3" t="str">
        <f>テーブル2[[#This Row],[No.]]&amp;"_"&amp;テーブル2[[#This Row],[TriggerValue]]</f>
        <v>63_断熱区画内</v>
      </c>
    </row>
    <row r="65" spans="1:8" x14ac:dyDescent="0.4">
      <c r="A65" s="16" t="s">
        <v>593</v>
      </c>
      <c r="B65" s="3" t="s">
        <v>172</v>
      </c>
      <c r="C65" s="3" t="s">
        <v>48</v>
      </c>
      <c r="D65" s="3" t="str">
        <f>Settings!I65</f>
        <v>居室のみを暖房する</v>
      </c>
      <c r="E65" s="3" t="s">
        <v>647</v>
      </c>
      <c r="F65" s="5" t="s">
        <v>646</v>
      </c>
      <c r="G65" s="3" t="str">
        <f>テーブル2[[#This Row],[No.]]&amp;"_"&amp;テーブル2[[#This Row],[TriggerValue]]</f>
        <v>064_居室のみを暖房する</v>
      </c>
      <c r="H65" s="12"/>
    </row>
    <row r="66" spans="1:8" x14ac:dyDescent="0.4">
      <c r="A66" s="16" t="s">
        <v>593</v>
      </c>
      <c r="D66" s="3" t="str">
        <f>Settings!I66</f>
        <v>住戸全体を暖房する</v>
      </c>
      <c r="E66" s="3" t="s">
        <v>647</v>
      </c>
      <c r="F66" s="5" t="s">
        <v>661</v>
      </c>
      <c r="G66" s="3" t="str">
        <f>テーブル2[[#This Row],[No.]]&amp;"_"&amp;テーブル2[[#This Row],[TriggerValue]]</f>
        <v>064_住戸全体を暖房する</v>
      </c>
      <c r="H66" s="12"/>
    </row>
    <row r="67" spans="1:8" x14ac:dyDescent="0.4">
      <c r="A67" s="16" t="s">
        <v>593</v>
      </c>
      <c r="D67" s="3" t="str">
        <f>Settings!I67</f>
        <v>設置しない</v>
      </c>
      <c r="E67" s="3" t="s">
        <v>647</v>
      </c>
      <c r="F67" s="5" t="s">
        <v>647</v>
      </c>
      <c r="G67" s="3" t="str">
        <f>テーブル2[[#This Row],[No.]]&amp;"_"&amp;テーブル2[[#This Row],[TriggerValue]]</f>
        <v>064_設置しない</v>
      </c>
      <c r="H67" s="12"/>
    </row>
    <row r="68" spans="1:8" x14ac:dyDescent="0.4">
      <c r="A68" s="16" t="s">
        <v>594</v>
      </c>
      <c r="B68" s="3" t="s">
        <v>173</v>
      </c>
      <c r="C68" s="3" t="s">
        <v>233</v>
      </c>
      <c r="D68" s="3" t="str">
        <f>Settings!I68</f>
        <v>ルームエアコンディショナー</v>
      </c>
      <c r="E68" s="3" t="s">
        <v>648</v>
      </c>
      <c r="F68" s="5" t="s">
        <v>649</v>
      </c>
      <c r="G68" s="3" t="str">
        <f>テーブル2[[#This Row],[No.]]&amp;"_"&amp;テーブル2[[#This Row],[TriggerValue]]</f>
        <v>067_ルームエアコンディショナー</v>
      </c>
      <c r="H68" s="12"/>
    </row>
    <row r="69" spans="1:8" x14ac:dyDescent="0.4">
      <c r="A69" s="16" t="s">
        <v>594</v>
      </c>
      <c r="D69" s="3" t="str">
        <f>Settings!I69</f>
        <v>FF暖房機</v>
      </c>
      <c r="E69" s="3" t="s">
        <v>648</v>
      </c>
      <c r="F69" s="5" t="s">
        <v>649</v>
      </c>
      <c r="G69" s="3" t="str">
        <f>テーブル2[[#This Row],[No.]]&amp;"_"&amp;テーブル2[[#This Row],[TriggerValue]]</f>
        <v>067_FF暖房機</v>
      </c>
      <c r="H69" s="12"/>
    </row>
    <row r="70" spans="1:8" x14ac:dyDescent="0.4">
      <c r="A70" s="16" t="s">
        <v>594</v>
      </c>
      <c r="D70" s="3" t="str">
        <f>Settings!I70</f>
        <v>電気蓄熱暖房器</v>
      </c>
      <c r="E70" s="3" t="s">
        <v>648</v>
      </c>
      <c r="F70" s="5" t="s">
        <v>648</v>
      </c>
      <c r="G70" s="3" t="str">
        <f>テーブル2[[#This Row],[No.]]&amp;"_"&amp;テーブル2[[#This Row],[TriggerValue]]</f>
        <v>067_電気蓄熱暖房器</v>
      </c>
      <c r="H70" s="12"/>
    </row>
    <row r="71" spans="1:8" x14ac:dyDescent="0.4">
      <c r="A71" s="16" t="s">
        <v>594</v>
      </c>
      <c r="D71" s="3" t="str">
        <f>Settings!I71</f>
        <v>電気ヒーター床暖房</v>
      </c>
      <c r="E71" s="3" t="s">
        <v>648</v>
      </c>
      <c r="F71" s="5" t="s">
        <v>650</v>
      </c>
      <c r="G71" s="3" t="str">
        <f>テーブル2[[#This Row],[No.]]&amp;"_"&amp;テーブル2[[#This Row],[TriggerValue]]</f>
        <v>067_電気ヒーター床暖房</v>
      </c>
      <c r="H71" s="12"/>
    </row>
    <row r="72" spans="1:8" x14ac:dyDescent="0.4">
      <c r="A72" s="16" t="s">
        <v>594</v>
      </c>
      <c r="D72" s="3" t="str">
        <f>Settings!I72</f>
        <v>ルームエアコンディショナー付温水床暖房機</v>
      </c>
      <c r="E72" s="3" t="s">
        <v>648</v>
      </c>
      <c r="F72" s="5" t="s">
        <v>651</v>
      </c>
      <c r="G72" s="3" t="str">
        <f>テーブル2[[#This Row],[No.]]&amp;"_"&amp;テーブル2[[#This Row],[TriggerValue]]</f>
        <v>067_ルームエアコンディショナー付温水床暖房機</v>
      </c>
      <c r="H72" s="12"/>
    </row>
    <row r="73" spans="1:8" x14ac:dyDescent="0.4">
      <c r="A73" s="16" t="s">
        <v>594</v>
      </c>
      <c r="D73" s="3" t="str">
        <f>Settings!I73</f>
        <v>温水床暖房</v>
      </c>
      <c r="E73" s="3" t="s">
        <v>648</v>
      </c>
      <c r="F73" s="5" t="s">
        <v>652</v>
      </c>
      <c r="G73" s="3" t="str">
        <f>テーブル2[[#This Row],[No.]]&amp;"_"&amp;テーブル2[[#This Row],[TriggerValue]]</f>
        <v>067_温水床暖房</v>
      </c>
      <c r="H73" s="12"/>
    </row>
    <row r="74" spans="1:8" x14ac:dyDescent="0.4">
      <c r="A74" s="16" t="s">
        <v>594</v>
      </c>
      <c r="D74" s="3" t="str">
        <f>Settings!I74</f>
        <v>パネルラジエーター</v>
      </c>
      <c r="E74" s="3" t="s">
        <v>648</v>
      </c>
      <c r="F74" s="5" t="s">
        <v>648</v>
      </c>
      <c r="G74" s="3" t="str">
        <f>テーブル2[[#This Row],[No.]]&amp;"_"&amp;テーブル2[[#This Row],[TriggerValue]]</f>
        <v>067_パネルラジエーター</v>
      </c>
      <c r="H74" s="12"/>
    </row>
    <row r="75" spans="1:8" x14ac:dyDescent="0.4">
      <c r="A75" s="16" t="s">
        <v>594</v>
      </c>
      <c r="D75" s="3" t="str">
        <f>Settings!I75</f>
        <v>ファンコンベクター</v>
      </c>
      <c r="E75" s="3" t="s">
        <v>648</v>
      </c>
      <c r="F75" s="5" t="s">
        <v>648</v>
      </c>
      <c r="G75" s="3" t="str">
        <f>テーブル2[[#This Row],[No.]]&amp;"_"&amp;テーブル2[[#This Row],[TriggerValue]]</f>
        <v>067_ファンコンベクター</v>
      </c>
      <c r="H75" s="12"/>
    </row>
    <row r="76" spans="1:8" x14ac:dyDescent="0.4">
      <c r="A76" s="16" t="s">
        <v>594</v>
      </c>
      <c r="D76" s="3" t="str">
        <f>Settings!I76</f>
        <v>ペレットストーブ</v>
      </c>
      <c r="E76" s="3" t="s">
        <v>648</v>
      </c>
      <c r="F76" s="5" t="s">
        <v>653</v>
      </c>
      <c r="G76" s="3" t="str">
        <f>テーブル2[[#This Row],[No.]]&amp;"_"&amp;テーブル2[[#This Row],[TriggerValue]]</f>
        <v>067_ペレットストーブ</v>
      </c>
      <c r="H76" s="12"/>
    </row>
    <row r="77" spans="1:8" x14ac:dyDescent="0.4">
      <c r="A77" s="16" t="s">
        <v>594</v>
      </c>
      <c r="D77" s="3" t="str">
        <f>Settings!I77</f>
        <v>その他の暖房設備機器</v>
      </c>
      <c r="E77" s="3" t="s">
        <v>648</v>
      </c>
      <c r="F77" s="5" t="s">
        <v>654</v>
      </c>
      <c r="G77" s="3" t="str">
        <f>テーブル2[[#This Row],[No.]]&amp;"_"&amp;テーブル2[[#This Row],[TriggerValue]]</f>
        <v>067_その他の暖房設備機器</v>
      </c>
      <c r="H77" s="12"/>
    </row>
    <row r="78" spans="1:8" x14ac:dyDescent="0.4">
      <c r="A78" s="16" t="s">
        <v>594</v>
      </c>
      <c r="D78" s="3" t="str">
        <f>Settings!I78</f>
        <v>基準値の算定において想定される機器（増改築部分を対象に評価する場合の基準設定仕様）</v>
      </c>
      <c r="E78" s="3" t="s">
        <v>648</v>
      </c>
      <c r="F78" s="5" t="s">
        <v>648</v>
      </c>
      <c r="G78" s="3" t="str">
        <f>テーブル2[[#This Row],[No.]]&amp;"_"&amp;テーブル2[[#This Row],[TriggerValue]]</f>
        <v>067_基準値の算定において想定される機器（増改築部分を対象に評価する場合の基準設定仕様）</v>
      </c>
      <c r="H78" s="12"/>
    </row>
    <row r="79" spans="1:8" x14ac:dyDescent="0.4">
      <c r="A79" s="16" t="s">
        <v>594</v>
      </c>
      <c r="D79" s="3" t="str">
        <f>Settings!I79</f>
        <v>暖房設備機器または放熱器を設置しない</v>
      </c>
      <c r="E79" s="3" t="s">
        <v>648</v>
      </c>
      <c r="F79" s="5" t="s">
        <v>648</v>
      </c>
      <c r="G79" s="3" t="str">
        <f>テーブル2[[#This Row],[No.]]&amp;"_"&amp;テーブル2[[#This Row],[TriggerValue]]</f>
        <v>067_暖房設備機器または放熱器を設置しない</v>
      </c>
      <c r="H79" s="12"/>
    </row>
    <row r="80" spans="1:8" x14ac:dyDescent="0.4">
      <c r="A80" s="16" t="s">
        <v>595</v>
      </c>
      <c r="B80" s="3" t="s">
        <v>173</v>
      </c>
      <c r="C80" s="3" t="s">
        <v>234</v>
      </c>
      <c r="D80" s="3" t="str">
        <f>Settings!I80</f>
        <v>入力しない（規定値を用いる）</v>
      </c>
      <c r="E80" s="3" t="s">
        <v>656</v>
      </c>
      <c r="F80" s="5" t="s">
        <v>655</v>
      </c>
      <c r="G80" s="3" t="str">
        <f>テーブル2[[#This Row],[No.]]&amp;"_"&amp;テーブル2[[#This Row],[TriggerValue]]</f>
        <v>079_入力しない（規定値を用いる）</v>
      </c>
      <c r="H80" s="12"/>
    </row>
    <row r="81" spans="1:8" x14ac:dyDescent="0.4">
      <c r="A81" s="16" t="s">
        <v>595</v>
      </c>
      <c r="D81" s="3" t="str">
        <f>Settings!I81</f>
        <v>入力する</v>
      </c>
      <c r="E81" s="3" t="s">
        <v>655</v>
      </c>
      <c r="F81" s="5"/>
      <c r="G81" s="3" t="str">
        <f>テーブル2[[#This Row],[No.]]&amp;"_"&amp;テーブル2[[#This Row],[TriggerValue]]</f>
        <v>079_入力する</v>
      </c>
      <c r="H81" s="12"/>
    </row>
    <row r="82" spans="1:8" x14ac:dyDescent="0.4">
      <c r="A82" s="16" t="s">
        <v>596</v>
      </c>
      <c r="B82" s="3" t="s">
        <v>173</v>
      </c>
      <c r="C82" s="3" t="s">
        <v>235</v>
      </c>
      <c r="D82" s="3" t="str">
        <f>Settings!I82</f>
        <v>86.0</v>
      </c>
      <c r="F82" s="5"/>
      <c r="G82" s="3" t="str">
        <f>テーブル2[[#This Row],[No.]]&amp;"_"&amp;テーブル2[[#This Row],[TriggerValue]]</f>
        <v>081_86.0</v>
      </c>
      <c r="H82" s="12"/>
    </row>
    <row r="83" spans="1:8" x14ac:dyDescent="0.4">
      <c r="A83" s="16" t="s">
        <v>580</v>
      </c>
      <c r="B83" s="3" t="s">
        <v>173</v>
      </c>
      <c r="C83" s="3" t="s">
        <v>236</v>
      </c>
      <c r="D83" s="3" t="str">
        <f>Settings!I83</f>
        <v>区分（い）</v>
      </c>
      <c r="F83" s="5"/>
      <c r="G83" s="3" t="str">
        <f>テーブル2[[#This Row],[No.]]&amp;"_"&amp;テーブル2[[#This Row],[TriggerValue]]</f>
        <v>082_区分（い）</v>
      </c>
      <c r="H83" s="12"/>
    </row>
    <row r="84" spans="1:8" x14ac:dyDescent="0.4">
      <c r="A84" s="16" t="s">
        <v>580</v>
      </c>
      <c r="D84" s="3" t="str">
        <f>Settings!I84</f>
        <v>区分（ろ）</v>
      </c>
      <c r="F84" s="5"/>
      <c r="G84" s="3" t="str">
        <f>テーブル2[[#This Row],[No.]]&amp;"_"&amp;テーブル2[[#This Row],[TriggerValue]]</f>
        <v>082_区分（ろ）</v>
      </c>
      <c r="H84" s="12"/>
    </row>
    <row r="85" spans="1:8" x14ac:dyDescent="0.4">
      <c r="A85" s="16" t="s">
        <v>580</v>
      </c>
      <c r="D85" s="3" t="str">
        <f>Settings!I85</f>
        <v>区分（は）</v>
      </c>
      <c r="F85" s="5"/>
      <c r="G85" s="3" t="str">
        <f>テーブル2[[#This Row],[No.]]&amp;"_"&amp;テーブル2[[#This Row],[TriggerValue]]</f>
        <v>082_区分（は）</v>
      </c>
      <c r="H85" s="12"/>
    </row>
    <row r="86" spans="1:8" x14ac:dyDescent="0.4">
      <c r="A86" s="16" t="s">
        <v>597</v>
      </c>
      <c r="B86" s="3" t="s">
        <v>173</v>
      </c>
      <c r="C86" s="3" t="s">
        <v>237</v>
      </c>
      <c r="D86" s="3" t="str">
        <f>Settings!I86</f>
        <v>評価しない、または搭載しない</v>
      </c>
      <c r="F86" s="5"/>
      <c r="G86" s="3" t="str">
        <f>テーブル2[[#This Row],[No.]]&amp;"_"&amp;テーブル2[[#This Row],[TriggerValue]]</f>
        <v>085_評価しない、または搭載しない</v>
      </c>
      <c r="H86" s="12"/>
    </row>
    <row r="87" spans="1:8" x14ac:dyDescent="0.4">
      <c r="A87" s="16" t="s">
        <v>597</v>
      </c>
      <c r="B87" s="3" t="s">
        <v>173</v>
      </c>
      <c r="D87" s="3" t="str">
        <f>Settings!I87</f>
        <v>搭載する</v>
      </c>
      <c r="F87" s="5"/>
      <c r="G87" s="3" t="str">
        <f>テーブル2[[#This Row],[No.]]&amp;"_"&amp;テーブル2[[#This Row],[TriggerValue]]</f>
        <v>085_搭載する</v>
      </c>
      <c r="H87" s="12"/>
    </row>
    <row r="88" spans="1:8" x14ac:dyDescent="0.4">
      <c r="A88" s="16" t="s">
        <v>598</v>
      </c>
      <c r="B88" s="3" t="s">
        <v>173</v>
      </c>
      <c r="C88" s="3" t="s">
        <v>238</v>
      </c>
      <c r="D88" s="3" t="str">
        <f>Settings!I88</f>
        <v>入力しない（規定値を用いる）</v>
      </c>
      <c r="E88" s="3" t="s">
        <v>658</v>
      </c>
      <c r="F88" s="5" t="s">
        <v>659</v>
      </c>
      <c r="G88" s="3" t="str">
        <f>テーブル2[[#This Row],[No.]]&amp;"_"&amp;テーブル2[[#This Row],[TriggerValue]]</f>
        <v>087_入力しない（規定値を用いる）</v>
      </c>
      <c r="H88" s="12"/>
    </row>
    <row r="89" spans="1:8" x14ac:dyDescent="0.4">
      <c r="A89" s="16" t="s">
        <v>598</v>
      </c>
      <c r="D89" s="3" t="str">
        <f>Settings!I89</f>
        <v>入力する</v>
      </c>
      <c r="E89" s="3" t="s">
        <v>657</v>
      </c>
      <c r="F89" s="5"/>
      <c r="G89" s="3" t="str">
        <f>テーブル2[[#This Row],[No.]]&amp;"_"&amp;テーブル2[[#This Row],[TriggerValue]]</f>
        <v>087_入力する</v>
      </c>
      <c r="H89" s="12"/>
    </row>
    <row r="90" spans="1:8" x14ac:dyDescent="0.4">
      <c r="A90" s="16" t="s">
        <v>599</v>
      </c>
      <c r="B90" s="3" t="s">
        <v>173</v>
      </c>
      <c r="C90" s="3" t="s">
        <v>239</v>
      </c>
      <c r="D90" s="3" t="str">
        <f>Settings!I90</f>
        <v>40.0</v>
      </c>
      <c r="F90" s="5"/>
      <c r="G90" s="3" t="str">
        <f>テーブル2[[#This Row],[No.]]&amp;"_"&amp;テーブル2[[#This Row],[TriggerValue]]</f>
        <v>089_40.0</v>
      </c>
      <c r="H90" s="12"/>
    </row>
    <row r="91" spans="1:8" x14ac:dyDescent="0.4">
      <c r="A91" s="16" t="s">
        <v>581</v>
      </c>
      <c r="B91" s="3" t="s">
        <v>173</v>
      </c>
      <c r="C91" s="3" t="s">
        <v>240</v>
      </c>
      <c r="D91" s="3" t="str">
        <f>Settings!I91</f>
        <v>入力しない（規定値を用いる）</v>
      </c>
      <c r="E91" s="3" t="s">
        <v>660</v>
      </c>
      <c r="F91" s="5" t="s">
        <v>660</v>
      </c>
      <c r="G91" s="3" t="str">
        <f>テーブル2[[#This Row],[No.]]&amp;"_"&amp;テーブル2[[#This Row],[TriggerValue]]</f>
        <v>090_入力しない（規定値を用いる）</v>
      </c>
      <c r="H91" s="12"/>
    </row>
    <row r="92" spans="1:8" x14ac:dyDescent="0.4">
      <c r="A92" s="16" t="s">
        <v>581</v>
      </c>
      <c r="D92" s="3" t="str">
        <f>Settings!I92</f>
        <v>入力する</v>
      </c>
      <c r="E92" s="3" t="s">
        <v>660</v>
      </c>
      <c r="F92" s="5"/>
      <c r="G92" s="3" t="str">
        <f>テーブル2[[#This Row],[No.]]&amp;"_"&amp;テーブル2[[#This Row],[TriggerValue]]</f>
        <v>090_入力する</v>
      </c>
      <c r="H92" s="12"/>
    </row>
    <row r="93" spans="1:8" x14ac:dyDescent="0.4">
      <c r="A93" s="16" t="s">
        <v>600</v>
      </c>
      <c r="B93" s="3" t="s">
        <v>173</v>
      </c>
      <c r="C93" s="3" t="s">
        <v>241</v>
      </c>
      <c r="D93" s="3" t="str">
        <f>Settings!I93</f>
        <v>10.0</v>
      </c>
      <c r="F93" s="5"/>
      <c r="G93" s="3" t="str">
        <f>テーブル2[[#This Row],[No.]]&amp;"_"&amp;テーブル2[[#This Row],[TriggerValue]]</f>
        <v>092_10.0</v>
      </c>
      <c r="H93" s="12"/>
    </row>
    <row r="94" spans="1:8" x14ac:dyDescent="0.4">
      <c r="A94" s="16" t="s">
        <v>600</v>
      </c>
      <c r="D94" s="3" t="str">
        <f>Settings!I94</f>
        <v>20.0</v>
      </c>
      <c r="F94" s="5"/>
      <c r="G94" s="3" t="str">
        <f>テーブル2[[#This Row],[No.]]&amp;"_"&amp;テーブル2[[#This Row],[TriggerValue]]</f>
        <v>092_20.0</v>
      </c>
      <c r="H94" s="12"/>
    </row>
    <row r="95" spans="1:8" x14ac:dyDescent="0.4">
      <c r="A95" s="16" t="s">
        <v>600</v>
      </c>
      <c r="D95" s="3" t="str">
        <f>Settings!I95</f>
        <v>30.0</v>
      </c>
      <c r="F95" s="5"/>
      <c r="G95" s="3" t="str">
        <f>テーブル2[[#This Row],[No.]]&amp;"_"&amp;テーブル2[[#This Row],[TriggerValue]]</f>
        <v>092_30.0</v>
      </c>
      <c r="H95" s="12"/>
    </row>
    <row r="96" spans="1:8" x14ac:dyDescent="0.4">
      <c r="A96" s="16" t="s">
        <v>600</v>
      </c>
      <c r="D96" s="3" t="str">
        <f>Settings!I96</f>
        <v>40.0</v>
      </c>
      <c r="F96" s="5"/>
      <c r="G96" s="3" t="str">
        <f>テーブル2[[#This Row],[No.]]&amp;"_"&amp;テーブル2[[#This Row],[TriggerValue]]</f>
        <v>092_40.0</v>
      </c>
      <c r="H96" s="12"/>
    </row>
    <row r="97" spans="1:8" x14ac:dyDescent="0.4">
      <c r="A97" s="16" t="s">
        <v>600</v>
      </c>
      <c r="D97" s="3" t="str">
        <f>Settings!I97</f>
        <v>50.0</v>
      </c>
      <c r="F97" s="5"/>
      <c r="G97" s="3" t="str">
        <f>テーブル2[[#This Row],[No.]]&amp;"_"&amp;テーブル2[[#This Row],[TriggerValue]]</f>
        <v>092_50.0</v>
      </c>
      <c r="H97" s="12"/>
    </row>
    <row r="98" spans="1:8" x14ac:dyDescent="0.4">
      <c r="A98" s="16" t="s">
        <v>600</v>
      </c>
      <c r="D98" s="3" t="str">
        <f>Settings!I98</f>
        <v>60.0</v>
      </c>
      <c r="F98" s="5"/>
      <c r="G98" s="3" t="str">
        <f>テーブル2[[#This Row],[No.]]&amp;"_"&amp;テーブル2[[#This Row],[TriggerValue]]</f>
        <v>092_60.0</v>
      </c>
      <c r="H98" s="12"/>
    </row>
    <row r="99" spans="1:8" x14ac:dyDescent="0.4">
      <c r="A99" s="16" t="s">
        <v>600</v>
      </c>
      <c r="D99" s="3" t="str">
        <f>Settings!I99</f>
        <v>70.0</v>
      </c>
      <c r="F99" s="5"/>
      <c r="G99" s="3" t="str">
        <f>テーブル2[[#This Row],[No.]]&amp;"_"&amp;テーブル2[[#This Row],[TriggerValue]]</f>
        <v>092_70.0</v>
      </c>
      <c r="H99" s="12"/>
    </row>
    <row r="100" spans="1:8" x14ac:dyDescent="0.4">
      <c r="A100" s="17" t="s">
        <v>600</v>
      </c>
      <c r="D100" s="3" t="str">
        <f>Settings!I100</f>
        <v>80.0</v>
      </c>
      <c r="F100" s="5"/>
      <c r="G100" s="3" t="str">
        <f>テーブル2[[#This Row],[No.]]&amp;"_"&amp;テーブル2[[#This Row],[TriggerValue]]</f>
        <v>092_80.0</v>
      </c>
      <c r="H100" s="12"/>
    </row>
    <row r="101" spans="1:8" x14ac:dyDescent="0.4">
      <c r="A101" s="16" t="s">
        <v>600</v>
      </c>
      <c r="D101" s="3" t="str">
        <f>Settings!I101</f>
        <v>90.0</v>
      </c>
      <c r="F101" s="5"/>
      <c r="G101" s="3" t="str">
        <f>テーブル2[[#This Row],[No.]]&amp;"_"&amp;テーブル2[[#This Row],[TriggerValue]]</f>
        <v>092_90.0</v>
      </c>
      <c r="H101" s="12"/>
    </row>
    <row r="102" spans="1:8" x14ac:dyDescent="0.4">
      <c r="A102" s="16" t="s">
        <v>600</v>
      </c>
      <c r="D102" s="3" t="str">
        <f>Settings!I102</f>
        <v>100.0</v>
      </c>
      <c r="F102" s="5"/>
      <c r="G102" s="3" t="str">
        <f>テーブル2[[#This Row],[No.]]&amp;"_"&amp;テーブル2[[#This Row],[TriggerValue]]</f>
        <v>092_100.0</v>
      </c>
      <c r="H102" s="12"/>
    </row>
    <row r="103" spans="1:8" x14ac:dyDescent="0.4">
      <c r="A103" s="16" t="s">
        <v>663</v>
      </c>
      <c r="B103" s="3" t="s">
        <v>173</v>
      </c>
      <c r="C103" s="3" t="s">
        <v>271</v>
      </c>
      <c r="D103" s="3" t="str">
        <f>Settings!I103</f>
        <v>70</v>
      </c>
      <c r="F103" s="5"/>
      <c r="G103" s="3" t="str">
        <f>テーブル2[[#This Row],[No.]]&amp;"_"&amp;テーブル2[[#This Row],[TriggerValue]]</f>
        <v>102_70</v>
      </c>
      <c r="H103" s="12"/>
    </row>
    <row r="104" spans="1:8" x14ac:dyDescent="0.4">
      <c r="A104" s="16" t="s">
        <v>663</v>
      </c>
      <c r="D104" s="3" t="str">
        <f>Settings!I104</f>
        <v>80</v>
      </c>
      <c r="F104" s="5"/>
      <c r="G104" s="3" t="str">
        <f>テーブル2[[#This Row],[No.]]&amp;"_"&amp;テーブル2[[#This Row],[TriggerValue]]</f>
        <v>102_80</v>
      </c>
      <c r="H104" s="12"/>
    </row>
    <row r="105" spans="1:8" x14ac:dyDescent="0.4">
      <c r="A105" s="16" t="s">
        <v>663</v>
      </c>
      <c r="D105" s="3" t="e">
        <f>Settings!#REF!</f>
        <v>#REF!</v>
      </c>
      <c r="F105" s="5"/>
      <c r="G105" s="3" t="e">
        <f>テーブル2[[#This Row],[No.]]&amp;"_"&amp;テーブル2[[#This Row],[TriggerValue]]</f>
        <v>#REF!</v>
      </c>
      <c r="H105" s="12"/>
    </row>
    <row r="106" spans="1:8" x14ac:dyDescent="0.4">
      <c r="A106" s="16" t="s">
        <v>663</v>
      </c>
      <c r="D106" s="3" t="e">
        <f>Settings!#REF!</f>
        <v>#REF!</v>
      </c>
      <c r="F106" s="5"/>
      <c r="G106" s="3" t="e">
        <f>テーブル2[[#This Row],[No.]]&amp;"_"&amp;テーブル2[[#This Row],[TriggerValue]]</f>
        <v>#REF!</v>
      </c>
      <c r="H106" s="12"/>
    </row>
    <row r="107" spans="1:8" x14ac:dyDescent="0.4">
      <c r="A107" s="16" t="s">
        <v>663</v>
      </c>
      <c r="D107" s="3" t="e">
        <f>Settings!#REF!</f>
        <v>#REF!</v>
      </c>
      <c r="F107" s="5"/>
      <c r="G107" s="3" t="e">
        <f>テーブル2[[#This Row],[No.]]&amp;"_"&amp;テーブル2[[#This Row],[TriggerValue]]</f>
        <v>#REF!</v>
      </c>
      <c r="H107" s="12"/>
    </row>
    <row r="108" spans="1:8" x14ac:dyDescent="0.4">
      <c r="A108" s="16" t="s">
        <v>663</v>
      </c>
      <c r="D108" s="3" t="e">
        <f>Settings!#REF!</f>
        <v>#REF!</v>
      </c>
      <c r="F108" s="5"/>
      <c r="G108" s="3" t="e">
        <f>テーブル2[[#This Row],[No.]]&amp;"_"&amp;テーブル2[[#This Row],[TriggerValue]]</f>
        <v>#REF!</v>
      </c>
      <c r="H108" s="12"/>
    </row>
    <row r="109" spans="1:8" x14ac:dyDescent="0.4">
      <c r="A109" s="16" t="s">
        <v>663</v>
      </c>
      <c r="D109" s="3" t="e">
        <f>Settings!#REF!</f>
        <v>#REF!</v>
      </c>
      <c r="F109" s="5"/>
      <c r="G109" s="3" t="e">
        <f>テーブル2[[#This Row],[No.]]&amp;"_"&amp;テーブル2[[#This Row],[TriggerValue]]</f>
        <v>#REF!</v>
      </c>
      <c r="H109" s="12"/>
    </row>
    <row r="110" spans="1:8" x14ac:dyDescent="0.4">
      <c r="A110" s="16" t="s">
        <v>663</v>
      </c>
      <c r="D110" s="3" t="e">
        <f>Settings!#REF!</f>
        <v>#REF!</v>
      </c>
      <c r="F110" s="5"/>
      <c r="G110" s="3" t="e">
        <f>テーブル2[[#This Row],[No.]]&amp;"_"&amp;テーブル2[[#This Row],[TriggerValue]]</f>
        <v>#REF!</v>
      </c>
      <c r="H110" s="12"/>
    </row>
    <row r="111" spans="1:8" x14ac:dyDescent="0.4">
      <c r="A111" s="16" t="s">
        <v>663</v>
      </c>
      <c r="D111" s="3" t="e">
        <f>Settings!#REF!</f>
        <v>#REF!</v>
      </c>
      <c r="F111" s="5"/>
      <c r="G111" s="3" t="e">
        <f>テーブル2[[#This Row],[No.]]&amp;"_"&amp;テーブル2[[#This Row],[TriggerValue]]</f>
        <v>#REF!</v>
      </c>
      <c r="H111" s="12"/>
    </row>
    <row r="112" spans="1:8" x14ac:dyDescent="0.4">
      <c r="A112" s="16" t="s">
        <v>663</v>
      </c>
      <c r="D112" s="3" t="str">
        <f>Settings!I105</f>
        <v>90</v>
      </c>
      <c r="F112" s="5"/>
      <c r="G112" s="3" t="str">
        <f>テーブル2[[#This Row],[No.]]&amp;"_"&amp;テーブル2[[#This Row],[TriggerValue]]</f>
        <v>102_90</v>
      </c>
      <c r="H112" s="12"/>
    </row>
    <row r="113" spans="1:8" x14ac:dyDescent="0.4">
      <c r="A113" s="16" t="s">
        <v>664</v>
      </c>
      <c r="B113" s="3" t="s">
        <v>173</v>
      </c>
      <c r="C113" s="3" t="s">
        <v>242</v>
      </c>
      <c r="D113" s="3" t="str">
        <f>Settings!I106</f>
        <v>評価しない</v>
      </c>
      <c r="F113" s="5"/>
      <c r="G113" s="3" t="str">
        <f>テーブル2[[#This Row],[No.]]&amp;"_"&amp;テーブル2[[#This Row],[TriggerValue]]</f>
        <v>112_評価しない</v>
      </c>
      <c r="H113" s="12"/>
    </row>
    <row r="114" spans="1:8" x14ac:dyDescent="0.4">
      <c r="A114" s="16" t="s">
        <v>664</v>
      </c>
      <c r="D114" s="3" t="str">
        <f>Settings!I107</f>
        <v>評価する</v>
      </c>
      <c r="F114" s="5"/>
      <c r="G114" s="3" t="str">
        <f>テーブル2[[#This Row],[No.]]&amp;"_"&amp;テーブル2[[#This Row],[TriggerValue]]</f>
        <v>112_評価する</v>
      </c>
      <c r="H114" s="12"/>
    </row>
    <row r="115" spans="1:8" x14ac:dyDescent="0.4">
      <c r="A115" s="16" t="s">
        <v>665</v>
      </c>
      <c r="B115" s="3" t="s">
        <v>173</v>
      </c>
      <c r="C115" s="3" t="s">
        <v>243</v>
      </c>
      <c r="D115" s="3" t="str">
        <f>Settings!I108</f>
        <v>評価しない、または採用しない</v>
      </c>
      <c r="F115" s="5"/>
      <c r="G115" s="3" t="str">
        <f>テーブル2[[#This Row],[No.]]&amp;"_"&amp;テーブル2[[#This Row],[TriggerValue]]</f>
        <v>114_評価しない、または採用しない</v>
      </c>
      <c r="H115" s="12"/>
    </row>
    <row r="116" spans="1:8" x14ac:dyDescent="0.4">
      <c r="A116" s="16" t="s">
        <v>665</v>
      </c>
      <c r="D116" s="3" t="str">
        <f>Settings!I109</f>
        <v>採用する</v>
      </c>
      <c r="F116" s="5"/>
      <c r="G116" s="3" t="str">
        <f>テーブル2[[#This Row],[No.]]&amp;"_"&amp;テーブル2[[#This Row],[TriggerValue]]</f>
        <v>114_採用する</v>
      </c>
      <c r="H116" s="12"/>
    </row>
    <row r="117" spans="1:8" x14ac:dyDescent="0.4">
      <c r="A117" s="16" t="s">
        <v>666</v>
      </c>
      <c r="B117" s="3" t="s">
        <v>173</v>
      </c>
      <c r="C117" s="3" t="s">
        <v>244</v>
      </c>
      <c r="D117" s="3">
        <f>Settings!I110</f>
        <v>12.5</v>
      </c>
      <c r="F117" s="5"/>
      <c r="G117" s="3" t="str">
        <f>テーブル2[[#This Row],[No.]]&amp;"_"&amp;テーブル2[[#This Row],[TriggerValue]]</f>
        <v>116_12.5</v>
      </c>
      <c r="H117" s="12"/>
    </row>
    <row r="118" spans="1:8" x14ac:dyDescent="0.4">
      <c r="A118" s="16" t="s">
        <v>667</v>
      </c>
      <c r="B118" s="3" t="s">
        <v>173</v>
      </c>
      <c r="C118" s="3" t="s">
        <v>245</v>
      </c>
      <c r="D118" s="3">
        <f>Settings!I111</f>
        <v>63.7</v>
      </c>
      <c r="F118" s="5"/>
      <c r="G118" s="3" t="str">
        <f>テーブル2[[#This Row],[No.]]&amp;"_"&amp;テーブル2[[#This Row],[TriggerValue]]</f>
        <v>117_63.7</v>
      </c>
      <c r="H118" s="12"/>
    </row>
    <row r="119" spans="1:8" x14ac:dyDescent="0.4">
      <c r="A119" s="16" t="s">
        <v>668</v>
      </c>
      <c r="B119" s="3" t="s">
        <v>173</v>
      </c>
      <c r="C119" s="3" t="s">
        <v>246</v>
      </c>
      <c r="D119" s="3">
        <f>Settings!I112</f>
        <v>155</v>
      </c>
      <c r="F119" s="5"/>
      <c r="G119" s="3" t="str">
        <f>テーブル2[[#This Row],[No.]]&amp;"_"&amp;テーブル2[[#This Row],[TriggerValue]]</f>
        <v>118_155</v>
      </c>
      <c r="H119" s="12"/>
    </row>
    <row r="120" spans="1:8" x14ac:dyDescent="0.4">
      <c r="A120" s="16" t="s">
        <v>669</v>
      </c>
      <c r="B120" s="3" t="s">
        <v>173</v>
      </c>
      <c r="C120" s="3" t="s">
        <v>247</v>
      </c>
      <c r="D120" s="3">
        <f>Settings!I113</f>
        <v>134</v>
      </c>
      <c r="F120" s="5"/>
      <c r="G120" s="3" t="str">
        <f>テーブル2[[#This Row],[No.]]&amp;"_"&amp;テーブル2[[#This Row],[TriggerValue]]</f>
        <v>119_134</v>
      </c>
      <c r="H120" s="12"/>
    </row>
    <row r="121" spans="1:8" x14ac:dyDescent="0.4">
      <c r="A121" s="16" t="s">
        <v>670</v>
      </c>
      <c r="B121" s="3" t="s">
        <v>173</v>
      </c>
      <c r="C121" s="3" t="s">
        <v>248</v>
      </c>
      <c r="D121" s="3" t="str">
        <f>Settings!I114</f>
        <v>（その他の暖房機器の名称）</v>
      </c>
      <c r="F121" s="5"/>
      <c r="G121" s="3" t="str">
        <f>テーブル2[[#This Row],[No.]]&amp;"_"&amp;テーブル2[[#This Row],[TriggerValue]]</f>
        <v>120_（その他の暖房機器の名称）</v>
      </c>
      <c r="H121" s="12"/>
    </row>
    <row r="122" spans="1:8" x14ac:dyDescent="0.4">
      <c r="A122" s="16" t="s">
        <v>671</v>
      </c>
      <c r="B122" s="3" t="s">
        <v>174</v>
      </c>
      <c r="C122" s="3" t="s">
        <v>249</v>
      </c>
      <c r="D122" s="3" t="str">
        <f>Settings!I115</f>
        <v>ルームエアコンディショナー</v>
      </c>
      <c r="F122" s="5"/>
      <c r="G122" s="3" t="str">
        <f>テーブル2[[#This Row],[No.]]&amp;"_"&amp;テーブル2[[#This Row],[TriggerValue]]</f>
        <v>121_ルームエアコンディショナー</v>
      </c>
      <c r="H122" s="12"/>
    </row>
    <row r="123" spans="1:8" x14ac:dyDescent="0.4">
      <c r="A123" s="16" t="s">
        <v>671</v>
      </c>
      <c r="D123" s="3" t="str">
        <f>Settings!I116</f>
        <v>FF暖房機</v>
      </c>
      <c r="F123" s="5"/>
      <c r="G123" s="3" t="str">
        <f>テーブル2[[#This Row],[No.]]&amp;"_"&amp;テーブル2[[#This Row],[TriggerValue]]</f>
        <v>121_FF暖房機</v>
      </c>
      <c r="H123" s="12"/>
    </row>
    <row r="124" spans="1:8" x14ac:dyDescent="0.4">
      <c r="A124" s="16" t="s">
        <v>671</v>
      </c>
      <c r="D124" s="3" t="str">
        <f>Settings!I117</f>
        <v>電気蓄熱暖房器</v>
      </c>
      <c r="F124" s="5"/>
      <c r="G124" s="3" t="str">
        <f>テーブル2[[#This Row],[No.]]&amp;"_"&amp;テーブル2[[#This Row],[TriggerValue]]</f>
        <v>121_電気蓄熱暖房器</v>
      </c>
      <c r="H124" s="12"/>
    </row>
    <row r="125" spans="1:8" x14ac:dyDescent="0.4">
      <c r="A125" s="16" t="s">
        <v>671</v>
      </c>
      <c r="D125" s="3" t="str">
        <f>Settings!I118</f>
        <v>電気ヒーター床暖房</v>
      </c>
      <c r="F125" s="5"/>
      <c r="G125" s="3" t="str">
        <f>テーブル2[[#This Row],[No.]]&amp;"_"&amp;テーブル2[[#This Row],[TriggerValue]]</f>
        <v>121_電気ヒーター床暖房</v>
      </c>
      <c r="H125" s="12"/>
    </row>
    <row r="126" spans="1:8" x14ac:dyDescent="0.4">
      <c r="A126" s="16" t="s">
        <v>671</v>
      </c>
      <c r="D126" s="3" t="str">
        <f>Settings!I119</f>
        <v>ルームエアコンディショナー付温水床暖房機</v>
      </c>
      <c r="F126" s="5"/>
      <c r="G126" s="3" t="str">
        <f>テーブル2[[#This Row],[No.]]&amp;"_"&amp;テーブル2[[#This Row],[TriggerValue]]</f>
        <v>121_ルームエアコンディショナー付温水床暖房機</v>
      </c>
      <c r="H126" s="12"/>
    </row>
    <row r="127" spans="1:8" x14ac:dyDescent="0.4">
      <c r="A127" s="16" t="s">
        <v>671</v>
      </c>
      <c r="D127" s="3" t="str">
        <f>Settings!I120</f>
        <v>温水床暖房</v>
      </c>
      <c r="F127" s="5"/>
      <c r="G127" s="3" t="str">
        <f>テーブル2[[#This Row],[No.]]&amp;"_"&amp;テーブル2[[#This Row],[TriggerValue]]</f>
        <v>121_温水床暖房</v>
      </c>
      <c r="H127" s="12"/>
    </row>
    <row r="128" spans="1:8" x14ac:dyDescent="0.4">
      <c r="A128" s="16" t="s">
        <v>671</v>
      </c>
      <c r="D128" s="3" t="str">
        <f>Settings!I121</f>
        <v>パネルラジエーター</v>
      </c>
      <c r="F128" s="5"/>
      <c r="G128" s="3" t="str">
        <f>テーブル2[[#This Row],[No.]]&amp;"_"&amp;テーブル2[[#This Row],[TriggerValue]]</f>
        <v>121_パネルラジエーター</v>
      </c>
      <c r="H128" s="12"/>
    </row>
    <row r="129" spans="1:8" x14ac:dyDescent="0.4">
      <c r="A129" s="16" t="s">
        <v>671</v>
      </c>
      <c r="D129" s="3" t="str">
        <f>Settings!I122</f>
        <v>ファンコンベクター</v>
      </c>
      <c r="F129" s="5"/>
      <c r="G129" s="3" t="str">
        <f>テーブル2[[#This Row],[No.]]&amp;"_"&amp;テーブル2[[#This Row],[TriggerValue]]</f>
        <v>121_ファンコンベクター</v>
      </c>
      <c r="H129" s="12"/>
    </row>
    <row r="130" spans="1:8" x14ac:dyDescent="0.4">
      <c r="A130" s="16" t="s">
        <v>671</v>
      </c>
      <c r="D130" s="3" t="str">
        <f>Settings!I123</f>
        <v>ペレットストーブ</v>
      </c>
      <c r="F130" s="5"/>
      <c r="G130" s="3" t="str">
        <f>テーブル2[[#This Row],[No.]]&amp;"_"&amp;テーブル2[[#This Row],[TriggerValue]]</f>
        <v>121_ペレットストーブ</v>
      </c>
      <c r="H130" s="12"/>
    </row>
    <row r="131" spans="1:8" x14ac:dyDescent="0.4">
      <c r="A131" s="16" t="s">
        <v>671</v>
      </c>
      <c r="D131" s="3" t="str">
        <f>Settings!I124</f>
        <v>その他の暖房設備機器</v>
      </c>
      <c r="F131" s="5"/>
      <c r="G131" s="3" t="str">
        <f>テーブル2[[#This Row],[No.]]&amp;"_"&amp;テーブル2[[#This Row],[TriggerValue]]</f>
        <v>121_その他の暖房設備機器</v>
      </c>
      <c r="H131" s="12"/>
    </row>
    <row r="132" spans="1:8" x14ac:dyDescent="0.4">
      <c r="A132" s="16" t="s">
        <v>671</v>
      </c>
      <c r="D132" s="3" t="str">
        <f>Settings!I125</f>
        <v>基準値の算定において想定される機器（増改築部分を対象に評価する場合の基準設定仕様</v>
      </c>
      <c r="F132" s="5"/>
      <c r="G132" s="3" t="str">
        <f>テーブル2[[#This Row],[No.]]&amp;"_"&amp;テーブル2[[#This Row],[TriggerValue]]</f>
        <v>121_基準値の算定において想定される機器（増改築部分を対象に評価する場合の基準設定仕様</v>
      </c>
      <c r="H132" s="12"/>
    </row>
    <row r="133" spans="1:8" x14ac:dyDescent="0.4">
      <c r="A133" s="16" t="s">
        <v>671</v>
      </c>
      <c r="D133" s="3" t="str">
        <f>Settings!I126</f>
        <v>暖房設備機器または放熱器を設置しない</v>
      </c>
      <c r="F133" s="5"/>
      <c r="G133" s="3" t="str">
        <f>テーブル2[[#This Row],[No.]]&amp;"_"&amp;テーブル2[[#This Row],[TriggerValue]]</f>
        <v>121_暖房設備機器または放熱器を設置しない</v>
      </c>
      <c r="H133" s="12"/>
    </row>
    <row r="134" spans="1:8" x14ac:dyDescent="0.4">
      <c r="A134" s="16" t="s">
        <v>672</v>
      </c>
      <c r="B134" s="3" t="s">
        <v>174</v>
      </c>
      <c r="C134" s="3" t="s">
        <v>250</v>
      </c>
      <c r="D134" s="3" t="str">
        <f>Settings!I127</f>
        <v>入力しない（規定値を用いる）</v>
      </c>
      <c r="F134" s="5"/>
      <c r="G134" s="3" t="str">
        <f>テーブル2[[#This Row],[No.]]&amp;"_"&amp;テーブル2[[#This Row],[TriggerValue]]</f>
        <v>133_入力しない（規定値を用いる）</v>
      </c>
      <c r="H134" s="12"/>
    </row>
    <row r="135" spans="1:8" x14ac:dyDescent="0.4">
      <c r="A135" s="16" t="s">
        <v>672</v>
      </c>
      <c r="D135" s="3" t="str">
        <f>Settings!I128</f>
        <v>入力する</v>
      </c>
      <c r="F135" s="5"/>
      <c r="G135" s="3" t="str">
        <f>テーブル2[[#This Row],[No.]]&amp;"_"&amp;テーブル2[[#This Row],[TriggerValue]]</f>
        <v>133_入力する</v>
      </c>
      <c r="H135" s="12"/>
    </row>
    <row r="136" spans="1:8" x14ac:dyDescent="0.4">
      <c r="A136" s="16" t="s">
        <v>673</v>
      </c>
      <c r="B136" s="3" t="s">
        <v>174</v>
      </c>
      <c r="C136" s="3" t="s">
        <v>251</v>
      </c>
      <c r="D136" s="3" t="str">
        <f>Settings!I129</f>
        <v>86.0</v>
      </c>
      <c r="F136" s="5"/>
      <c r="G136" s="3" t="str">
        <f>テーブル2[[#This Row],[No.]]&amp;"_"&amp;テーブル2[[#This Row],[TriggerValue]]</f>
        <v>135_86.0</v>
      </c>
      <c r="H136" s="12"/>
    </row>
    <row r="137" spans="1:8" x14ac:dyDescent="0.4">
      <c r="A137" s="16" t="s">
        <v>674</v>
      </c>
      <c r="B137" s="3" t="s">
        <v>174</v>
      </c>
      <c r="C137" s="3" t="s">
        <v>252</v>
      </c>
      <c r="D137" s="3" t="str">
        <f>Settings!I130</f>
        <v>区分（い）</v>
      </c>
      <c r="F137" s="5"/>
      <c r="G137" s="3" t="str">
        <f>テーブル2[[#This Row],[No.]]&amp;"_"&amp;テーブル2[[#This Row],[TriggerValue]]</f>
        <v>136_区分（い）</v>
      </c>
      <c r="H137" s="12"/>
    </row>
    <row r="138" spans="1:8" x14ac:dyDescent="0.4">
      <c r="A138" s="16" t="s">
        <v>674</v>
      </c>
      <c r="D138" s="3" t="str">
        <f>Settings!I131</f>
        <v>区分（ろ）</v>
      </c>
      <c r="F138" s="5"/>
      <c r="G138" s="3" t="str">
        <f>テーブル2[[#This Row],[No.]]&amp;"_"&amp;テーブル2[[#This Row],[TriggerValue]]</f>
        <v>136_区分（ろ）</v>
      </c>
      <c r="H138" s="12"/>
    </row>
    <row r="139" spans="1:8" x14ac:dyDescent="0.4">
      <c r="A139" s="16" t="s">
        <v>674</v>
      </c>
      <c r="D139" s="3" t="str">
        <f>Settings!I132</f>
        <v>区分（は）</v>
      </c>
      <c r="F139" s="5"/>
      <c r="G139" s="3" t="str">
        <f>テーブル2[[#This Row],[No.]]&amp;"_"&amp;テーブル2[[#This Row],[TriggerValue]]</f>
        <v>136_区分（は）</v>
      </c>
      <c r="H139" s="12"/>
    </row>
    <row r="140" spans="1:8" x14ac:dyDescent="0.4">
      <c r="A140" s="16" t="s">
        <v>675</v>
      </c>
      <c r="B140" s="3" t="s">
        <v>174</v>
      </c>
      <c r="C140" s="3" t="s">
        <v>253</v>
      </c>
      <c r="D140" s="3" t="str">
        <f>Settings!I133</f>
        <v>評価しない、または搭載しない</v>
      </c>
      <c r="F140" s="5"/>
      <c r="G140" s="3" t="str">
        <f>テーブル2[[#This Row],[No.]]&amp;"_"&amp;テーブル2[[#This Row],[TriggerValue]]</f>
        <v>139_評価しない、または搭載しない</v>
      </c>
      <c r="H140" s="12"/>
    </row>
    <row r="141" spans="1:8" x14ac:dyDescent="0.4">
      <c r="A141" s="16" t="s">
        <v>675</v>
      </c>
      <c r="D141" s="3" t="str">
        <f>Settings!I134</f>
        <v>搭載する</v>
      </c>
      <c r="F141" s="5"/>
      <c r="G141" s="3" t="str">
        <f>テーブル2[[#This Row],[No.]]&amp;"_"&amp;テーブル2[[#This Row],[TriggerValue]]</f>
        <v>139_搭載する</v>
      </c>
      <c r="H141" s="12"/>
    </row>
    <row r="142" spans="1:8" x14ac:dyDescent="0.4">
      <c r="A142" s="16" t="s">
        <v>676</v>
      </c>
      <c r="B142" s="3" t="s">
        <v>174</v>
      </c>
      <c r="C142" s="3" t="s">
        <v>254</v>
      </c>
      <c r="D142" s="3" t="str">
        <f>Settings!I135</f>
        <v>入力しない（規定値を用いる）</v>
      </c>
      <c r="F142" s="5"/>
      <c r="G142" s="3" t="str">
        <f>テーブル2[[#This Row],[No.]]&amp;"_"&amp;テーブル2[[#This Row],[TriggerValue]]</f>
        <v>141_入力しない（規定値を用いる）</v>
      </c>
      <c r="H142" s="12"/>
    </row>
    <row r="143" spans="1:8" x14ac:dyDescent="0.4">
      <c r="A143" s="16" t="s">
        <v>676</v>
      </c>
      <c r="D143" s="3" t="str">
        <f>Settings!I136</f>
        <v>入力する</v>
      </c>
      <c r="F143" s="5"/>
      <c r="G143" s="3" t="str">
        <f>テーブル2[[#This Row],[No.]]&amp;"_"&amp;テーブル2[[#This Row],[TriggerValue]]</f>
        <v>141_入力する</v>
      </c>
      <c r="H143" s="12"/>
    </row>
    <row r="144" spans="1:8" x14ac:dyDescent="0.4">
      <c r="A144" s="16" t="s">
        <v>677</v>
      </c>
      <c r="B144" s="3" t="s">
        <v>174</v>
      </c>
      <c r="C144" s="3" t="s">
        <v>255</v>
      </c>
      <c r="D144" s="3" t="str">
        <f>Settings!I137</f>
        <v>40.0</v>
      </c>
      <c r="F144" s="5"/>
      <c r="G144" s="3" t="str">
        <f>テーブル2[[#This Row],[No.]]&amp;"_"&amp;テーブル2[[#This Row],[TriggerValue]]</f>
        <v>143_40.0</v>
      </c>
      <c r="H144" s="12"/>
    </row>
    <row r="145" spans="1:8" x14ac:dyDescent="0.4">
      <c r="A145" s="16" t="s">
        <v>678</v>
      </c>
      <c r="B145" s="3" t="s">
        <v>174</v>
      </c>
      <c r="C145" s="3" t="s">
        <v>272</v>
      </c>
      <c r="D145" s="3" t="str">
        <f>Settings!I138</f>
        <v>70</v>
      </c>
      <c r="F145" s="5"/>
      <c r="G145" s="3" t="str">
        <f>テーブル2[[#This Row],[No.]]&amp;"_"&amp;テーブル2[[#This Row],[TriggerValue]]</f>
        <v>144_70</v>
      </c>
      <c r="H145" s="12"/>
    </row>
    <row r="146" spans="1:8" x14ac:dyDescent="0.4">
      <c r="A146" s="16" t="s">
        <v>678</v>
      </c>
      <c r="D146" s="3" t="str">
        <f>Settings!I139</f>
        <v>80</v>
      </c>
      <c r="F146" s="5"/>
      <c r="G146" s="3" t="str">
        <f>テーブル2[[#This Row],[No.]]&amp;"_"&amp;テーブル2[[#This Row],[TriggerValue]]</f>
        <v>144_80</v>
      </c>
      <c r="H146" s="12"/>
    </row>
    <row r="147" spans="1:8" x14ac:dyDescent="0.4">
      <c r="A147" s="16" t="s">
        <v>678</v>
      </c>
      <c r="D147" s="3" t="e">
        <f>Settings!#REF!</f>
        <v>#REF!</v>
      </c>
      <c r="F147" s="5"/>
      <c r="G147" s="3" t="e">
        <f>テーブル2[[#This Row],[No.]]&amp;"_"&amp;テーブル2[[#This Row],[TriggerValue]]</f>
        <v>#REF!</v>
      </c>
      <c r="H147" s="12"/>
    </row>
    <row r="148" spans="1:8" x14ac:dyDescent="0.4">
      <c r="A148" s="16" t="s">
        <v>678</v>
      </c>
      <c r="D148" s="3" t="e">
        <f>Settings!#REF!</f>
        <v>#REF!</v>
      </c>
      <c r="F148" s="5"/>
      <c r="G148" s="3" t="e">
        <f>テーブル2[[#This Row],[No.]]&amp;"_"&amp;テーブル2[[#This Row],[TriggerValue]]</f>
        <v>#REF!</v>
      </c>
      <c r="H148" s="12"/>
    </row>
    <row r="149" spans="1:8" x14ac:dyDescent="0.4">
      <c r="A149" s="16" t="s">
        <v>678</v>
      </c>
      <c r="D149" s="3" t="e">
        <f>Settings!#REF!</f>
        <v>#REF!</v>
      </c>
      <c r="F149" s="5"/>
      <c r="G149" s="3" t="e">
        <f>テーブル2[[#This Row],[No.]]&amp;"_"&amp;テーブル2[[#This Row],[TriggerValue]]</f>
        <v>#REF!</v>
      </c>
      <c r="H149" s="12"/>
    </row>
    <row r="150" spans="1:8" x14ac:dyDescent="0.4">
      <c r="A150" s="16" t="s">
        <v>678</v>
      </c>
      <c r="D150" s="3" t="e">
        <f>Settings!#REF!</f>
        <v>#REF!</v>
      </c>
      <c r="F150" s="5"/>
      <c r="G150" s="3" t="e">
        <f>テーブル2[[#This Row],[No.]]&amp;"_"&amp;テーブル2[[#This Row],[TriggerValue]]</f>
        <v>#REF!</v>
      </c>
      <c r="H150" s="12"/>
    </row>
    <row r="151" spans="1:8" x14ac:dyDescent="0.4">
      <c r="A151" s="16" t="s">
        <v>678</v>
      </c>
      <c r="D151" s="3" t="e">
        <f>Settings!#REF!</f>
        <v>#REF!</v>
      </c>
      <c r="F151" s="5"/>
      <c r="G151" s="3" t="e">
        <f>テーブル2[[#This Row],[No.]]&amp;"_"&amp;テーブル2[[#This Row],[TriggerValue]]</f>
        <v>#REF!</v>
      </c>
      <c r="H151" s="12"/>
    </row>
    <row r="152" spans="1:8" x14ac:dyDescent="0.4">
      <c r="A152" s="16" t="s">
        <v>678</v>
      </c>
      <c r="D152" s="3" t="e">
        <f>Settings!#REF!</f>
        <v>#REF!</v>
      </c>
      <c r="F152" s="5"/>
      <c r="G152" s="3" t="e">
        <f>テーブル2[[#This Row],[No.]]&amp;"_"&amp;テーブル2[[#This Row],[TriggerValue]]</f>
        <v>#REF!</v>
      </c>
      <c r="H152" s="12"/>
    </row>
    <row r="153" spans="1:8" x14ac:dyDescent="0.4">
      <c r="A153" s="16" t="s">
        <v>678</v>
      </c>
      <c r="D153" s="3" t="e">
        <f>Settings!#REF!</f>
        <v>#REF!</v>
      </c>
      <c r="F153" s="5"/>
      <c r="G153" s="3" t="e">
        <f>テーブル2[[#This Row],[No.]]&amp;"_"&amp;テーブル2[[#This Row],[TriggerValue]]</f>
        <v>#REF!</v>
      </c>
      <c r="H153" s="12"/>
    </row>
    <row r="154" spans="1:8" x14ac:dyDescent="0.4">
      <c r="A154" s="16" t="s">
        <v>678</v>
      </c>
      <c r="D154" s="3" t="str">
        <f>Settings!I140</f>
        <v>90</v>
      </c>
      <c r="F154" s="5"/>
      <c r="G154" s="3" t="str">
        <f>テーブル2[[#This Row],[No.]]&amp;"_"&amp;テーブル2[[#This Row],[TriggerValue]]</f>
        <v>144_90</v>
      </c>
      <c r="H154" s="12"/>
    </row>
    <row r="155" spans="1:8" x14ac:dyDescent="0.4">
      <c r="A155" s="16" t="s">
        <v>679</v>
      </c>
      <c r="B155" s="3" t="s">
        <v>174</v>
      </c>
      <c r="C155" s="3" t="s">
        <v>256</v>
      </c>
      <c r="D155" s="3" t="str">
        <f>Settings!I141</f>
        <v>評価しない</v>
      </c>
      <c r="F155" s="5"/>
      <c r="G155" s="3" t="str">
        <f>テーブル2[[#This Row],[No.]]&amp;"_"&amp;テーブル2[[#This Row],[TriggerValue]]</f>
        <v>154_評価しない</v>
      </c>
      <c r="H155" s="12"/>
    </row>
    <row r="156" spans="1:8" x14ac:dyDescent="0.4">
      <c r="A156" s="16" t="s">
        <v>679</v>
      </c>
      <c r="D156" s="3" t="str">
        <f>Settings!I142</f>
        <v>評価する</v>
      </c>
      <c r="F156" s="5"/>
      <c r="G156" s="3" t="str">
        <f>テーブル2[[#This Row],[No.]]&amp;"_"&amp;テーブル2[[#This Row],[TriggerValue]]</f>
        <v>154_評価する</v>
      </c>
      <c r="H156" s="12"/>
    </row>
    <row r="157" spans="1:8" x14ac:dyDescent="0.4">
      <c r="A157" s="16" t="s">
        <v>680</v>
      </c>
      <c r="B157" s="3" t="s">
        <v>174</v>
      </c>
      <c r="C157" s="3" t="s">
        <v>257</v>
      </c>
      <c r="D157" s="3" t="str">
        <f>Settings!I143</f>
        <v>評価しない、または採用しない</v>
      </c>
      <c r="F157" s="5"/>
      <c r="G157" s="3" t="str">
        <f>テーブル2[[#This Row],[No.]]&amp;"_"&amp;テーブル2[[#This Row],[TriggerValue]]</f>
        <v>156_評価しない、または採用しない</v>
      </c>
      <c r="H157" s="12"/>
    </row>
    <row r="158" spans="1:8" x14ac:dyDescent="0.4">
      <c r="A158" s="16" t="s">
        <v>680</v>
      </c>
      <c r="D158" s="3" t="str">
        <f>Settings!I144</f>
        <v>採用する</v>
      </c>
      <c r="F158" s="5"/>
      <c r="G158" s="3" t="str">
        <f>テーブル2[[#This Row],[No.]]&amp;"_"&amp;テーブル2[[#This Row],[TriggerValue]]</f>
        <v>156_採用する</v>
      </c>
      <c r="H158" s="12"/>
    </row>
    <row r="159" spans="1:8" x14ac:dyDescent="0.4">
      <c r="A159" s="16" t="s">
        <v>681</v>
      </c>
      <c r="B159" s="3" t="s">
        <v>174</v>
      </c>
      <c r="C159" s="3" t="s">
        <v>258</v>
      </c>
      <c r="D159" s="3">
        <f>Settings!I145</f>
        <v>12.5</v>
      </c>
      <c r="F159" s="5"/>
      <c r="G159" s="3" t="str">
        <f>テーブル2[[#This Row],[No.]]&amp;"_"&amp;テーブル2[[#This Row],[TriggerValue]]</f>
        <v>158_12.5</v>
      </c>
      <c r="H159" s="12"/>
    </row>
    <row r="160" spans="1:8" x14ac:dyDescent="0.4">
      <c r="A160" s="16" t="s">
        <v>682</v>
      </c>
      <c r="B160" s="3" t="s">
        <v>174</v>
      </c>
      <c r="C160" s="3" t="s">
        <v>259</v>
      </c>
      <c r="D160" s="3">
        <f>Settings!I146</f>
        <v>63.7</v>
      </c>
      <c r="F160" s="5"/>
      <c r="G160" s="3" t="str">
        <f>テーブル2[[#This Row],[No.]]&amp;"_"&amp;テーブル2[[#This Row],[TriggerValue]]</f>
        <v>159_63.7</v>
      </c>
      <c r="H160" s="12"/>
    </row>
    <row r="161" spans="1:8" x14ac:dyDescent="0.4">
      <c r="A161" s="16" t="s">
        <v>683</v>
      </c>
      <c r="B161" s="3" t="s">
        <v>174</v>
      </c>
      <c r="C161" s="3" t="s">
        <v>260</v>
      </c>
      <c r="D161" s="3">
        <f>Settings!I147</f>
        <v>155</v>
      </c>
      <c r="F161" s="5"/>
      <c r="G161" s="3" t="str">
        <f>テーブル2[[#This Row],[No.]]&amp;"_"&amp;テーブル2[[#This Row],[TriggerValue]]</f>
        <v>160_155</v>
      </c>
      <c r="H161" s="12"/>
    </row>
    <row r="162" spans="1:8" x14ac:dyDescent="0.4">
      <c r="A162" s="16" t="s">
        <v>684</v>
      </c>
      <c r="B162" s="3" t="s">
        <v>174</v>
      </c>
      <c r="C162" s="3" t="s">
        <v>261</v>
      </c>
      <c r="D162" s="3">
        <f>Settings!I148</f>
        <v>134</v>
      </c>
      <c r="F162" s="5"/>
      <c r="G162" s="3" t="str">
        <f>テーブル2[[#This Row],[No.]]&amp;"_"&amp;テーブル2[[#This Row],[TriggerValue]]</f>
        <v>161_134</v>
      </c>
      <c r="H162" s="12"/>
    </row>
    <row r="163" spans="1:8" x14ac:dyDescent="0.4">
      <c r="A163" s="16" t="s">
        <v>685</v>
      </c>
      <c r="B163" s="3" t="s">
        <v>174</v>
      </c>
      <c r="C163" s="3" t="s">
        <v>262</v>
      </c>
      <c r="D163" s="3" t="str">
        <f>Settings!I149</f>
        <v>（その他の暖房機器の名称）</v>
      </c>
      <c r="F163" s="5"/>
      <c r="G163" s="3" t="str">
        <f>テーブル2[[#This Row],[No.]]&amp;"_"&amp;テーブル2[[#This Row],[TriggerValue]]</f>
        <v>162_（その他の暖房機器の名称）</v>
      </c>
      <c r="H163" s="12"/>
    </row>
    <row r="164" spans="1:8" x14ac:dyDescent="0.4">
      <c r="A164" s="16" t="s">
        <v>686</v>
      </c>
      <c r="B164" s="3" t="s">
        <v>175</v>
      </c>
      <c r="C164" s="3" t="s">
        <v>57</v>
      </c>
      <c r="D164" s="3" t="str">
        <f>Settings!I150</f>
        <v>ガス従来型温水暖房機</v>
      </c>
      <c r="F164" s="5"/>
      <c r="G164" s="3" t="str">
        <f>テーブル2[[#This Row],[No.]]&amp;"_"&amp;テーブル2[[#This Row],[TriggerValue]]</f>
        <v>163_ガス従来型温水暖房機</v>
      </c>
      <c r="H164" s="12"/>
    </row>
    <row r="165" spans="1:8" x14ac:dyDescent="0.4">
      <c r="A165" s="16" t="s">
        <v>686</v>
      </c>
      <c r="B165" s="3" t="s">
        <v>175</v>
      </c>
      <c r="D165" s="3" t="str">
        <f>Settings!I151</f>
        <v>ガス潜熱回収型温水暖房機</v>
      </c>
      <c r="F165" s="5"/>
      <c r="G165" s="3" t="str">
        <f>テーブル2[[#This Row],[No.]]&amp;"_"&amp;テーブル2[[#This Row],[TriggerValue]]</f>
        <v>163_ガス潜熱回収型温水暖房機</v>
      </c>
      <c r="H165" s="12"/>
    </row>
    <row r="166" spans="1:8" x14ac:dyDescent="0.4">
      <c r="A166" s="16" t="s">
        <v>686</v>
      </c>
      <c r="B166" s="3" t="s">
        <v>175</v>
      </c>
      <c r="D166" s="3" t="str">
        <f>Settings!I152</f>
        <v>石油従来型温水暖房機</v>
      </c>
      <c r="F166" s="5"/>
      <c r="G166" s="3" t="str">
        <f>テーブル2[[#This Row],[No.]]&amp;"_"&amp;テーブル2[[#This Row],[TriggerValue]]</f>
        <v>163_石油従来型温水暖房機</v>
      </c>
      <c r="H166" s="12"/>
    </row>
    <row r="167" spans="1:8" x14ac:dyDescent="0.4">
      <c r="A167" s="16" t="s">
        <v>686</v>
      </c>
      <c r="B167" s="3" t="s">
        <v>175</v>
      </c>
      <c r="D167" s="3" t="str">
        <f>Settings!I153</f>
        <v>石油潜熱回収型温水暖房機</v>
      </c>
      <c r="F167" s="5"/>
      <c r="G167" s="3" t="str">
        <f>テーブル2[[#This Row],[No.]]&amp;"_"&amp;テーブル2[[#This Row],[TriggerValue]]</f>
        <v>163_石油潜熱回収型温水暖房機</v>
      </c>
      <c r="H167" s="12"/>
    </row>
    <row r="168" spans="1:8" x14ac:dyDescent="0.4">
      <c r="A168" s="16" t="s">
        <v>686</v>
      </c>
      <c r="B168" s="3" t="s">
        <v>175</v>
      </c>
      <c r="D168" s="3" t="str">
        <f>Settings!I154</f>
        <v>電気ヒートポンプ温水暖房機（フロン系冷媒）</v>
      </c>
      <c r="F168" s="5"/>
      <c r="G168" s="3" t="str">
        <f>テーブル2[[#This Row],[No.]]&amp;"_"&amp;テーブル2[[#This Row],[TriggerValue]]</f>
        <v>163_電気ヒートポンプ温水暖房機（フロン系冷媒）</v>
      </c>
      <c r="H168" s="12"/>
    </row>
    <row r="169" spans="1:8" x14ac:dyDescent="0.4">
      <c r="A169" s="16" t="s">
        <v>686</v>
      </c>
      <c r="B169" s="3" t="s">
        <v>175</v>
      </c>
      <c r="D169" s="3" t="str">
        <f>Settings!I155</f>
        <v>電気ヒーター温水暖房機</v>
      </c>
      <c r="F169" s="5"/>
      <c r="G169" s="3" t="str">
        <f>テーブル2[[#This Row],[No.]]&amp;"_"&amp;テーブル2[[#This Row],[TriggerValue]]</f>
        <v>163_電気ヒーター温水暖房機</v>
      </c>
      <c r="H169" s="12"/>
    </row>
    <row r="170" spans="1:8" x14ac:dyDescent="0.4">
      <c r="A170" s="16" t="s">
        <v>686</v>
      </c>
      <c r="B170" s="3" t="s">
        <v>175</v>
      </c>
      <c r="D170" s="3" t="str">
        <f>Settings!I156</f>
        <v>地中熱ヒートポンプ温水暖房機</v>
      </c>
      <c r="F170" s="5"/>
      <c r="G170" s="3" t="str">
        <f>テーブル2[[#This Row],[No.]]&amp;"_"&amp;テーブル2[[#This Row],[TriggerValue]]</f>
        <v>163_地中熱ヒートポンプ温水暖房機</v>
      </c>
      <c r="H170" s="12"/>
    </row>
    <row r="171" spans="1:8" x14ac:dyDescent="0.4">
      <c r="A171" s="16" t="s">
        <v>686</v>
      </c>
      <c r="B171" s="3" t="s">
        <v>175</v>
      </c>
      <c r="D171" s="3" t="str">
        <f>Settings!I157</f>
        <v>給湯・温水暖房一体型</v>
      </c>
      <c r="F171" s="5"/>
      <c r="G171" s="3" t="str">
        <f>テーブル2[[#This Row],[No.]]&amp;"_"&amp;テーブル2[[#This Row],[TriggerValue]]</f>
        <v>163_給湯・温水暖房一体型</v>
      </c>
      <c r="H171" s="12"/>
    </row>
    <row r="172" spans="1:8" x14ac:dyDescent="0.4">
      <c r="A172" s="16" t="s">
        <v>686</v>
      </c>
      <c r="B172" s="3" t="s">
        <v>175</v>
      </c>
      <c r="D172" s="3" t="str">
        <f>Settings!I158</f>
        <v>コージェネレーション</v>
      </c>
      <c r="F172" s="5"/>
      <c r="G172" s="3" t="str">
        <f>テーブル2[[#This Row],[No.]]&amp;"_"&amp;テーブル2[[#This Row],[TriggerValue]]</f>
        <v>163_コージェネレーション</v>
      </c>
      <c r="H172" s="12"/>
    </row>
    <row r="173" spans="1:8" x14ac:dyDescent="0.4">
      <c r="A173" s="16" t="s">
        <v>686</v>
      </c>
      <c r="B173" s="3" t="s">
        <v>175</v>
      </c>
      <c r="D173" s="3" t="str">
        <f>Settings!I159</f>
        <v>その他の温水暖房機</v>
      </c>
      <c r="F173" s="5"/>
      <c r="G173" s="3" t="str">
        <f>テーブル2[[#This Row],[No.]]&amp;"_"&amp;テーブル2[[#This Row],[TriggerValue]]</f>
        <v>163_その他の温水暖房機</v>
      </c>
      <c r="H173" s="12"/>
    </row>
    <row r="174" spans="1:8" x14ac:dyDescent="0.4">
      <c r="A174" s="16" t="s">
        <v>686</v>
      </c>
      <c r="B174" s="3" t="s">
        <v>175</v>
      </c>
      <c r="D174" s="3" t="str">
        <f>Settings!I160</f>
        <v>基準値の算定において想定される機器（増改築部分を対象に評価する場合の基準設定仕様</v>
      </c>
      <c r="F174" s="5"/>
      <c r="G174" s="3" t="str">
        <f>テーブル2[[#This Row],[No.]]&amp;"_"&amp;テーブル2[[#This Row],[TriggerValue]]</f>
        <v>163_基準値の算定において想定される機器（増改築部分を対象に評価する場合の基準設定仕様</v>
      </c>
      <c r="H174" s="12"/>
    </row>
    <row r="175" spans="1:8" x14ac:dyDescent="0.4">
      <c r="A175" s="16" t="s">
        <v>686</v>
      </c>
      <c r="B175" s="3" t="s">
        <v>175</v>
      </c>
      <c r="D175" s="3" t="str">
        <f>Settings!I161</f>
        <v>温水暖房機を設置しない</v>
      </c>
      <c r="F175" s="5"/>
      <c r="G175" s="3" t="str">
        <f>テーブル2[[#This Row],[No.]]&amp;"_"&amp;テーブル2[[#This Row],[TriggerValue]]</f>
        <v>163_温水暖房機を設置しない</v>
      </c>
      <c r="H175" s="12"/>
    </row>
    <row r="176" spans="1:8" x14ac:dyDescent="0.4">
      <c r="A176" s="16" t="s">
        <v>687</v>
      </c>
      <c r="B176" s="3" t="s">
        <v>662</v>
      </c>
      <c r="C176" s="3" t="s">
        <v>68</v>
      </c>
      <c r="D176" s="3" t="str">
        <f>Settings!I162</f>
        <v>入力しない（規定値を用いる）</v>
      </c>
      <c r="F176" s="5"/>
      <c r="G176" s="3" t="str">
        <f>テーブル2[[#This Row],[No.]]&amp;"_"&amp;テーブル2[[#This Row],[TriggerValue]]</f>
        <v>175_入力しない（規定値を用いる）</v>
      </c>
      <c r="H176" s="12"/>
    </row>
    <row r="177" spans="1:8" x14ac:dyDescent="0.4">
      <c r="A177" s="16" t="s">
        <v>687</v>
      </c>
      <c r="B177" s="3" t="s">
        <v>662</v>
      </c>
      <c r="D177" s="3" t="str">
        <f>Settings!I163</f>
        <v>入力する</v>
      </c>
      <c r="F177" s="5"/>
      <c r="G177" s="3" t="str">
        <f>テーブル2[[#This Row],[No.]]&amp;"_"&amp;テーブル2[[#This Row],[TriggerValue]]</f>
        <v>175_入力する</v>
      </c>
      <c r="H177" s="12"/>
    </row>
    <row r="178" spans="1:8" x14ac:dyDescent="0.4">
      <c r="A178" s="16" t="s">
        <v>688</v>
      </c>
      <c r="B178" s="3" t="s">
        <v>175</v>
      </c>
      <c r="C178" s="3" t="s">
        <v>180</v>
      </c>
      <c r="D178" s="3" t="str">
        <f>Settings!I164</f>
        <v>11.0</v>
      </c>
      <c r="F178" s="5"/>
      <c r="G178" s="3" t="str">
        <f>テーブル2[[#This Row],[No.]]&amp;"_"&amp;テーブル2[[#This Row],[TriggerValue]]</f>
        <v>177_11.0</v>
      </c>
      <c r="H178" s="12"/>
    </row>
    <row r="179" spans="1:8" x14ac:dyDescent="0.4">
      <c r="A179" s="16" t="s">
        <v>688</v>
      </c>
      <c r="D179" s="3" t="str">
        <f>Settings!I165</f>
        <v>21.0</v>
      </c>
      <c r="F179" s="5"/>
      <c r="G179" s="3" t="str">
        <f>テーブル2[[#This Row],[No.]]&amp;"_"&amp;テーブル2[[#This Row],[TriggerValue]]</f>
        <v>177_21.0</v>
      </c>
      <c r="H179" s="12"/>
    </row>
    <row r="180" spans="1:8" x14ac:dyDescent="0.4">
      <c r="A180" s="16" t="s">
        <v>688</v>
      </c>
      <c r="D180" s="3" t="str">
        <f>Settings!I166</f>
        <v>31.0</v>
      </c>
      <c r="F180" s="5"/>
      <c r="G180" s="3" t="str">
        <f>テーブル2[[#This Row],[No.]]&amp;"_"&amp;テーブル2[[#This Row],[TriggerValue]]</f>
        <v>177_31.0</v>
      </c>
      <c r="H180" s="12"/>
    </row>
    <row r="181" spans="1:8" x14ac:dyDescent="0.4">
      <c r="A181" s="16" t="s">
        <v>688</v>
      </c>
      <c r="D181" s="3" t="str">
        <f>Settings!I167</f>
        <v>41.0</v>
      </c>
      <c r="F181" s="5"/>
      <c r="G181" s="3" t="str">
        <f>テーブル2[[#This Row],[No.]]&amp;"_"&amp;テーブル2[[#This Row],[TriggerValue]]</f>
        <v>177_41.0</v>
      </c>
      <c r="H181" s="12"/>
    </row>
    <row r="182" spans="1:8" x14ac:dyDescent="0.4">
      <c r="A182" s="16" t="s">
        <v>688</v>
      </c>
      <c r="D182" s="3" t="str">
        <f>Settings!I168</f>
        <v>51.0</v>
      </c>
      <c r="F182" s="5"/>
      <c r="G182" s="3" t="str">
        <f>テーブル2[[#This Row],[No.]]&amp;"_"&amp;テーブル2[[#This Row],[TriggerValue]]</f>
        <v>177_51.0</v>
      </c>
      <c r="H182" s="12"/>
    </row>
    <row r="183" spans="1:8" x14ac:dyDescent="0.4">
      <c r="A183" s="16" t="s">
        <v>688</v>
      </c>
      <c r="D183" s="3" t="str">
        <f>Settings!I169</f>
        <v>61.0</v>
      </c>
      <c r="F183" s="5"/>
      <c r="G183" s="3" t="str">
        <f>テーブル2[[#This Row],[No.]]&amp;"_"&amp;テーブル2[[#This Row],[TriggerValue]]</f>
        <v>177_61.0</v>
      </c>
      <c r="H183" s="12"/>
    </row>
    <row r="184" spans="1:8" x14ac:dyDescent="0.4">
      <c r="A184" s="16" t="s">
        <v>688</v>
      </c>
      <c r="D184" s="3" t="str">
        <f>Settings!I170</f>
        <v>71.0</v>
      </c>
      <c r="F184" s="5"/>
      <c r="G184" s="3" t="str">
        <f>テーブル2[[#This Row],[No.]]&amp;"_"&amp;テーブル2[[#This Row],[TriggerValue]]</f>
        <v>177_71.0</v>
      </c>
      <c r="H184" s="12"/>
    </row>
    <row r="185" spans="1:8" x14ac:dyDescent="0.4">
      <c r="A185" s="16" t="s">
        <v>688</v>
      </c>
      <c r="D185" s="3" t="str">
        <f>Settings!I171</f>
        <v>81.0</v>
      </c>
      <c r="F185" s="5"/>
      <c r="G185" s="3" t="str">
        <f>テーブル2[[#This Row],[No.]]&amp;"_"&amp;テーブル2[[#This Row],[TriggerValue]]</f>
        <v>177_81.0</v>
      </c>
      <c r="H185" s="12"/>
    </row>
    <row r="186" spans="1:8" x14ac:dyDescent="0.4">
      <c r="A186" s="16" t="s">
        <v>688</v>
      </c>
      <c r="D186" s="3" t="str">
        <f>Settings!I172</f>
        <v>91.0</v>
      </c>
      <c r="F186" s="5"/>
      <c r="G186" s="3" t="str">
        <f>テーブル2[[#This Row],[No.]]&amp;"_"&amp;テーブル2[[#This Row],[TriggerValue]]</f>
        <v>177_91.0</v>
      </c>
      <c r="H186" s="12"/>
    </row>
    <row r="187" spans="1:8" x14ac:dyDescent="0.4">
      <c r="A187" s="16" t="s">
        <v>688</v>
      </c>
      <c r="D187" s="3" t="str">
        <f>Settings!I173</f>
        <v>100</v>
      </c>
      <c r="F187" s="5"/>
      <c r="G187" s="3" t="str">
        <f>テーブル2[[#This Row],[No.]]&amp;"_"&amp;テーブル2[[#This Row],[TriggerValue]]</f>
        <v>177_100</v>
      </c>
      <c r="H187" s="12"/>
    </row>
    <row r="188" spans="1:8" x14ac:dyDescent="0.4">
      <c r="A188" s="16" t="s">
        <v>689</v>
      </c>
      <c r="B188" s="3" t="s">
        <v>175</v>
      </c>
      <c r="C188" s="3" t="s">
        <v>217</v>
      </c>
      <c r="D188" s="3" t="str">
        <f>Settings!I174</f>
        <v>入力しない（規定値を用いる）</v>
      </c>
      <c r="F188" s="5"/>
      <c r="G188" s="3" t="str">
        <f>テーブル2[[#This Row],[No.]]&amp;"_"&amp;テーブル2[[#This Row],[TriggerValue]]</f>
        <v>187_入力しない（規定値を用いる）</v>
      </c>
      <c r="H188" s="12"/>
    </row>
    <row r="189" spans="1:8" x14ac:dyDescent="0.4">
      <c r="A189" s="16" t="s">
        <v>689</v>
      </c>
      <c r="D189" s="3" t="str">
        <f>Settings!I175</f>
        <v>入力する</v>
      </c>
      <c r="F189" s="5"/>
      <c r="G189" s="3" t="str">
        <f>テーブル2[[#This Row],[No.]]&amp;"_"&amp;テーブル2[[#This Row],[TriggerValue]]</f>
        <v>187_入力する</v>
      </c>
      <c r="H189" s="12"/>
    </row>
    <row r="190" spans="1:8" x14ac:dyDescent="0.4">
      <c r="A190" s="16" t="s">
        <v>690</v>
      </c>
      <c r="B190" s="3" t="s">
        <v>175</v>
      </c>
      <c r="C190" s="3" t="s">
        <v>218</v>
      </c>
      <c r="D190" s="3">
        <f>Settings!I176</f>
        <v>1</v>
      </c>
      <c r="F190" s="5"/>
      <c r="G190" s="3" t="str">
        <f>テーブル2[[#This Row],[No.]]&amp;"_"&amp;テーブル2[[#This Row],[TriggerValue]]</f>
        <v>189_1</v>
      </c>
      <c r="H190" s="12"/>
    </row>
    <row r="191" spans="1:8" x14ac:dyDescent="0.4">
      <c r="A191" s="16" t="s">
        <v>690</v>
      </c>
      <c r="D191" s="3">
        <f>Settings!I177</f>
        <v>2</v>
      </c>
      <c r="F191" s="5"/>
      <c r="G191" s="3" t="str">
        <f>テーブル2[[#This Row],[No.]]&amp;"_"&amp;テーブル2[[#This Row],[TriggerValue]]</f>
        <v>189_2</v>
      </c>
      <c r="H191" s="12"/>
    </row>
    <row r="192" spans="1:8" x14ac:dyDescent="0.4">
      <c r="A192" s="16" t="s">
        <v>690</v>
      </c>
      <c r="D192" s="3">
        <f>Settings!I178</f>
        <v>3</v>
      </c>
      <c r="F192" s="5"/>
      <c r="G192" s="3" t="str">
        <f>テーブル2[[#This Row],[No.]]&amp;"_"&amp;テーブル2[[#This Row],[TriggerValue]]</f>
        <v>189_3</v>
      </c>
      <c r="H192" s="12"/>
    </row>
    <row r="193" spans="1:8" x14ac:dyDescent="0.4">
      <c r="A193" s="16" t="s">
        <v>690</v>
      </c>
      <c r="D193" s="3">
        <f>Settings!I179</f>
        <v>4</v>
      </c>
      <c r="F193" s="5"/>
      <c r="G193" s="3" t="str">
        <f>テーブル2[[#This Row],[No.]]&amp;"_"&amp;テーブル2[[#This Row],[TriggerValue]]</f>
        <v>189_4</v>
      </c>
      <c r="H193" s="12"/>
    </row>
    <row r="194" spans="1:8" x14ac:dyDescent="0.4">
      <c r="A194" s="16" t="s">
        <v>690</v>
      </c>
      <c r="D194" s="3">
        <f>Settings!I180</f>
        <v>5</v>
      </c>
      <c r="F194" s="5"/>
      <c r="G194" s="3" t="str">
        <f>テーブル2[[#This Row],[No.]]&amp;"_"&amp;テーブル2[[#This Row],[TriggerValue]]</f>
        <v>189_5</v>
      </c>
      <c r="H194" s="12"/>
    </row>
    <row r="195" spans="1:8" x14ac:dyDescent="0.4">
      <c r="A195" s="16" t="s">
        <v>691</v>
      </c>
      <c r="B195" s="3" t="s">
        <v>175</v>
      </c>
      <c r="C195" s="3" t="s">
        <v>219</v>
      </c>
      <c r="D195" s="3" t="str">
        <f>Settings!I181</f>
        <v>（その他の温水暖房機の名称）</v>
      </c>
      <c r="F195" s="5"/>
      <c r="G195" s="3" t="str">
        <f>テーブル2[[#This Row],[No.]]&amp;"_"&amp;テーブル2[[#This Row],[TriggerValue]]</f>
        <v>194_（その他の温水暖房機の名称）</v>
      </c>
      <c r="H195" s="12"/>
    </row>
    <row r="196" spans="1:8" x14ac:dyDescent="0.4">
      <c r="A196" s="16" t="s">
        <v>692</v>
      </c>
      <c r="B196" s="3" t="s">
        <v>175</v>
      </c>
      <c r="C196" s="3" t="s">
        <v>69</v>
      </c>
      <c r="D196" s="3" t="str">
        <f>Settings!I182</f>
        <v>評価しない、または採用しない</v>
      </c>
      <c r="F196" s="5"/>
      <c r="G196" s="3" t="str">
        <f>テーブル2[[#This Row],[No.]]&amp;"_"&amp;テーブル2[[#This Row],[TriggerValue]]</f>
        <v>195_評価しない、または採用しない</v>
      </c>
      <c r="H196" s="12"/>
    </row>
    <row r="197" spans="1:8" x14ac:dyDescent="0.4">
      <c r="A197" s="16" t="s">
        <v>692</v>
      </c>
      <c r="D197" s="3" t="str">
        <f>Settings!I183</f>
        <v>採用する</v>
      </c>
      <c r="F197" s="5"/>
      <c r="G197" s="3" t="str">
        <f>テーブル2[[#This Row],[No.]]&amp;"_"&amp;テーブル2[[#This Row],[TriggerValue]]</f>
        <v>195_採用する</v>
      </c>
      <c r="H197" s="12"/>
    </row>
    <row r="198" spans="1:8" x14ac:dyDescent="0.4">
      <c r="A198" s="16" t="s">
        <v>693</v>
      </c>
      <c r="B198" s="3" t="s">
        <v>175</v>
      </c>
      <c r="C198" s="3" t="s">
        <v>72</v>
      </c>
      <c r="D198" s="3" t="str">
        <f>Settings!I184</f>
        <v>評価しない、または全てもしくは一部が断熱区画外である</v>
      </c>
      <c r="F198" s="5"/>
      <c r="G198" s="3" t="str">
        <f>テーブル2[[#This Row],[No.]]&amp;"_"&amp;テーブル2[[#This Row],[TriggerValue]]</f>
        <v>197_評価しない、または全てもしくは一部が断熱区画外である</v>
      </c>
      <c r="H198" s="12"/>
    </row>
    <row r="199" spans="1:8" x14ac:dyDescent="0.4">
      <c r="A199" s="16" t="s">
        <v>693</v>
      </c>
      <c r="D199" s="3" t="str">
        <f>Settings!I185</f>
        <v>全て断熱区画内である</v>
      </c>
      <c r="F199" s="5"/>
      <c r="G199" s="3" t="str">
        <f>テーブル2[[#This Row],[No.]]&amp;"_"&amp;テーブル2[[#This Row],[TriggerValue]]</f>
        <v>197_全て断熱区画内である</v>
      </c>
      <c r="H199" s="12"/>
    </row>
    <row r="200" spans="1:8" x14ac:dyDescent="0.4">
      <c r="A200" s="16" t="s">
        <v>694</v>
      </c>
      <c r="B200" s="3" t="s">
        <v>176</v>
      </c>
      <c r="C200" s="3" t="s">
        <v>75</v>
      </c>
      <c r="D200" s="3" t="str">
        <f>Settings!I186</f>
        <v>ダクト式セントラル空調機（ヒートポンプ式熱源）</v>
      </c>
      <c r="F200" s="5"/>
      <c r="G200" s="3" t="str">
        <f>テーブル2[[#This Row],[No.]]&amp;"_"&amp;テーブル2[[#This Row],[TriggerValue]]</f>
        <v>199_ダクト式セントラル空調機（ヒートポンプ式熱源）</v>
      </c>
      <c r="H200" s="12"/>
    </row>
    <row r="201" spans="1:8" x14ac:dyDescent="0.4">
      <c r="A201" s="16" t="s">
        <v>695</v>
      </c>
      <c r="B201" s="3" t="s">
        <v>176</v>
      </c>
      <c r="C201" s="3" t="s">
        <v>77</v>
      </c>
      <c r="D201" s="3" t="str">
        <f>Settings!I187</f>
        <v>評価しない、または全てもしくは一部が断熱区画外である</v>
      </c>
      <c r="F201" s="5"/>
      <c r="G201" s="3" t="str">
        <f>テーブル2[[#This Row],[No.]]&amp;"_"&amp;テーブル2[[#This Row],[TriggerValue]]</f>
        <v>200_評価しない、または全てもしくは一部が断熱区画外である</v>
      </c>
      <c r="H201" s="12"/>
    </row>
    <row r="202" spans="1:8" x14ac:dyDescent="0.4">
      <c r="A202" s="16" t="s">
        <v>695</v>
      </c>
      <c r="D202" s="3" t="str">
        <f>Settings!I188</f>
        <v>全て断熱区画内である</v>
      </c>
      <c r="F202" s="5"/>
      <c r="G202" s="3" t="str">
        <f>テーブル2[[#This Row],[No.]]&amp;"_"&amp;テーブル2[[#This Row],[TriggerValue]]</f>
        <v>200_全て断熱区画内である</v>
      </c>
      <c r="H202" s="12"/>
    </row>
    <row r="203" spans="1:8" x14ac:dyDescent="0.4">
      <c r="A203" s="16" t="s">
        <v>696</v>
      </c>
      <c r="B203" s="3" t="s">
        <v>176</v>
      </c>
      <c r="C203" s="3" t="s">
        <v>78</v>
      </c>
      <c r="D203" s="3" t="str">
        <f>Settings!I189</f>
        <v>採用しない</v>
      </c>
      <c r="F203" s="5"/>
      <c r="G203" s="3" t="str">
        <f>テーブル2[[#This Row],[No.]]&amp;"_"&amp;テーブル2[[#This Row],[TriggerValue]]</f>
        <v>202_採用しない</v>
      </c>
      <c r="H203" s="12"/>
    </row>
    <row r="204" spans="1:8" x14ac:dyDescent="0.4">
      <c r="A204" s="16" t="s">
        <v>696</v>
      </c>
      <c r="D204" s="3" t="str">
        <f>Settings!I190</f>
        <v>採用する</v>
      </c>
      <c r="F204" s="5"/>
      <c r="G204" s="3" t="str">
        <f>テーブル2[[#This Row],[No.]]&amp;"_"&amp;テーブル2[[#This Row],[TriggerValue]]</f>
        <v>202_採用する</v>
      </c>
      <c r="H204" s="12"/>
    </row>
    <row r="205" spans="1:8" x14ac:dyDescent="0.4">
      <c r="A205" s="16" t="s">
        <v>697</v>
      </c>
      <c r="B205" s="3" t="s">
        <v>176</v>
      </c>
      <c r="C205" s="3" t="s">
        <v>80</v>
      </c>
      <c r="D205" s="3" t="str">
        <f>Settings!I191</f>
        <v>全般換気機能あり</v>
      </c>
      <c r="F205" s="5"/>
      <c r="G205" s="3" t="str">
        <f>テーブル2[[#This Row],[No.]]&amp;"_"&amp;テーブル2[[#This Row],[TriggerValue]]</f>
        <v>204_全般換気機能あり</v>
      </c>
      <c r="H205" s="12"/>
    </row>
    <row r="206" spans="1:8" x14ac:dyDescent="0.4">
      <c r="A206" s="16" t="s">
        <v>697</v>
      </c>
      <c r="D206" s="3" t="str">
        <f>Settings!I192</f>
        <v>全般換気機能なし</v>
      </c>
      <c r="F206" s="5"/>
      <c r="G206" s="3" t="str">
        <f>テーブル2[[#This Row],[No.]]&amp;"_"&amp;テーブル2[[#This Row],[TriggerValue]]</f>
        <v>204_全般換気機能なし</v>
      </c>
      <c r="H206" s="12"/>
    </row>
    <row r="207" spans="1:8" x14ac:dyDescent="0.4">
      <c r="A207" s="16" t="s">
        <v>698</v>
      </c>
      <c r="B207" s="3" t="s">
        <v>176</v>
      </c>
      <c r="C207" s="3" t="s">
        <v>83</v>
      </c>
      <c r="D207" s="3" t="str">
        <f>Settings!I193</f>
        <v>入力しない（規定値を用いる）</v>
      </c>
      <c r="F207" s="5"/>
      <c r="G207" s="3" t="str">
        <f>テーブル2[[#This Row],[No.]]&amp;"_"&amp;テーブル2[[#This Row],[TriggerValue]]</f>
        <v>206_入力しない（規定値を用いる）</v>
      </c>
      <c r="H207" s="12"/>
    </row>
    <row r="208" spans="1:8" x14ac:dyDescent="0.4">
      <c r="A208" s="16" t="s">
        <v>698</v>
      </c>
      <c r="D208" s="3" t="str">
        <f>Settings!I194</f>
        <v>定格能力試験の値を入力する</v>
      </c>
      <c r="F208" s="5"/>
      <c r="G208" s="3" t="str">
        <f>テーブル2[[#This Row],[No.]]&amp;"_"&amp;テーブル2[[#This Row],[TriggerValue]]</f>
        <v>206_定格能力試験の値を入力する</v>
      </c>
      <c r="H208" s="12"/>
    </row>
    <row r="209" spans="1:8" x14ac:dyDescent="0.4">
      <c r="A209" s="16" t="s">
        <v>698</v>
      </c>
      <c r="D209" s="3" t="str">
        <f>Settings!I195</f>
        <v>定格能力試験と中間能力試験の値を入力する</v>
      </c>
      <c r="F209" s="5"/>
      <c r="G209" s="3" t="str">
        <f>テーブル2[[#This Row],[No.]]&amp;"_"&amp;テーブル2[[#This Row],[TriggerValue]]</f>
        <v>206_定格能力試験と中間能力試験の値を入力する</v>
      </c>
      <c r="H209" s="12"/>
    </row>
    <row r="210" spans="1:8" x14ac:dyDescent="0.4">
      <c r="A210" s="16" t="s">
        <v>699</v>
      </c>
      <c r="B210" s="3" t="s">
        <v>176</v>
      </c>
      <c r="C210" s="3" t="s">
        <v>263</v>
      </c>
      <c r="D210" s="3">
        <f>Settings!I196</f>
        <v>99</v>
      </c>
      <c r="F210" s="5"/>
      <c r="G210" s="3" t="str">
        <f>テーブル2[[#This Row],[No.]]&amp;"_"&amp;テーブル2[[#This Row],[TriggerValue]]</f>
        <v>209_99</v>
      </c>
      <c r="H210" s="12"/>
    </row>
    <row r="211" spans="1:8" x14ac:dyDescent="0.4">
      <c r="A211" s="16" t="s">
        <v>700</v>
      </c>
      <c r="B211" s="3" t="s">
        <v>176</v>
      </c>
      <c r="C211" s="3" t="s">
        <v>264</v>
      </c>
      <c r="D211" s="3">
        <f>Settings!I197</f>
        <v>99</v>
      </c>
      <c r="F211" s="5"/>
      <c r="G211" s="3" t="str">
        <f>テーブル2[[#This Row],[No.]]&amp;"_"&amp;テーブル2[[#This Row],[TriggerValue]]</f>
        <v>210_99</v>
      </c>
      <c r="H211" s="12"/>
    </row>
    <row r="212" spans="1:8" x14ac:dyDescent="0.4">
      <c r="A212" s="16" t="s">
        <v>701</v>
      </c>
      <c r="B212" s="3" t="s">
        <v>176</v>
      </c>
      <c r="C212" s="3" t="s">
        <v>265</v>
      </c>
      <c r="D212" s="3">
        <f>Settings!I198</f>
        <v>99</v>
      </c>
      <c r="F212" s="5"/>
      <c r="G212" s="3" t="str">
        <f>テーブル2[[#This Row],[No.]]&amp;"_"&amp;テーブル2[[#This Row],[TriggerValue]]</f>
        <v>211_99</v>
      </c>
      <c r="H212" s="12"/>
    </row>
    <row r="213" spans="1:8" x14ac:dyDescent="0.4">
      <c r="A213" s="16" t="s">
        <v>702</v>
      </c>
      <c r="B213" s="3" t="s">
        <v>176</v>
      </c>
      <c r="C213" s="3" t="s">
        <v>266</v>
      </c>
      <c r="D213" s="3">
        <f>Settings!I199</f>
        <v>99</v>
      </c>
      <c r="F213" s="5"/>
      <c r="G213" s="3" t="str">
        <f>テーブル2[[#This Row],[No.]]&amp;"_"&amp;テーブル2[[#This Row],[TriggerValue]]</f>
        <v>212_99</v>
      </c>
      <c r="H213" s="12"/>
    </row>
    <row r="214" spans="1:8" x14ac:dyDescent="0.4">
      <c r="A214" s="16" t="s">
        <v>703</v>
      </c>
      <c r="B214" s="3" t="s">
        <v>176</v>
      </c>
      <c r="C214" s="3" t="s">
        <v>267</v>
      </c>
      <c r="D214" s="3">
        <f>Settings!I200</f>
        <v>99</v>
      </c>
      <c r="F214" s="5"/>
      <c r="G214" s="3" t="str">
        <f>テーブル2[[#This Row],[No.]]&amp;"_"&amp;テーブル2[[#This Row],[TriggerValue]]</f>
        <v>213_99</v>
      </c>
      <c r="H214" s="12"/>
    </row>
    <row r="215" spans="1:8" x14ac:dyDescent="0.4">
      <c r="A215" s="16" t="s">
        <v>704</v>
      </c>
      <c r="B215" s="3" t="s">
        <v>176</v>
      </c>
      <c r="C215" s="3" t="s">
        <v>268</v>
      </c>
      <c r="D215" s="3">
        <f>Settings!I201</f>
        <v>99</v>
      </c>
      <c r="F215" s="5"/>
      <c r="G215" s="3" t="str">
        <f>テーブル2[[#This Row],[No.]]&amp;"_"&amp;テーブル2[[#This Row],[TriggerValue]]</f>
        <v>214_99</v>
      </c>
      <c r="H215" s="12"/>
    </row>
    <row r="216" spans="1:8" x14ac:dyDescent="0.4">
      <c r="A216" s="16" t="s">
        <v>705</v>
      </c>
      <c r="B216" s="3" t="s">
        <v>176</v>
      </c>
      <c r="C216" s="3" t="s">
        <v>269</v>
      </c>
      <c r="D216" s="3">
        <f>Settings!I202</f>
        <v>99</v>
      </c>
      <c r="F216" s="5"/>
      <c r="G216" s="3" t="str">
        <f>テーブル2[[#This Row],[No.]]&amp;"_"&amp;テーブル2[[#This Row],[TriggerValue]]</f>
        <v>215_99</v>
      </c>
      <c r="H216" s="12"/>
    </row>
    <row r="217" spans="1:8" x14ac:dyDescent="0.4">
      <c r="A217" s="16" t="s">
        <v>706</v>
      </c>
      <c r="B217" s="3" t="s">
        <v>176</v>
      </c>
      <c r="C217" s="3" t="s">
        <v>270</v>
      </c>
      <c r="D217" s="3">
        <f>Settings!I203</f>
        <v>99</v>
      </c>
      <c r="F217" s="5"/>
      <c r="G217" s="3" t="str">
        <f>テーブル2[[#This Row],[No.]]&amp;"_"&amp;テーブル2[[#This Row],[TriggerValue]]</f>
        <v>216_99</v>
      </c>
      <c r="H217" s="12"/>
    </row>
    <row r="218" spans="1:8" x14ac:dyDescent="0.4">
      <c r="A218" s="16" t="s">
        <v>707</v>
      </c>
      <c r="B218" s="3" t="s">
        <v>176</v>
      </c>
      <c r="C218" s="3" t="s">
        <v>86</v>
      </c>
      <c r="D218" s="3" t="str">
        <f>Settings!I204</f>
        <v>入力しない（規定値を用いる）</v>
      </c>
      <c r="F218" s="5"/>
      <c r="G218" s="3" t="str">
        <f>テーブル2[[#This Row],[No.]]&amp;"_"&amp;テーブル2[[#This Row],[TriggerValue]]</f>
        <v>217_入力しない（規定値を用いる）</v>
      </c>
      <c r="H218" s="12"/>
    </row>
    <row r="219" spans="1:8" x14ac:dyDescent="0.4">
      <c r="A219" s="16" t="s">
        <v>707</v>
      </c>
      <c r="D219" s="3" t="str">
        <f>Settings!I205</f>
        <v>入力する</v>
      </c>
      <c r="F219" s="5"/>
      <c r="G219" s="3" t="str">
        <f>テーブル2[[#This Row],[No.]]&amp;"_"&amp;テーブル2[[#This Row],[TriggerValue]]</f>
        <v>217_入力する</v>
      </c>
      <c r="H219" s="12"/>
    </row>
    <row r="220" spans="1:8" x14ac:dyDescent="0.4">
      <c r="A220" s="16" t="s">
        <v>708</v>
      </c>
      <c r="B220" s="3" t="s">
        <v>176</v>
      </c>
      <c r="C220" s="3" t="s">
        <v>232</v>
      </c>
      <c r="D220" s="3">
        <f>Settings!I206</f>
        <v>99</v>
      </c>
      <c r="F220" s="5"/>
      <c r="G220" s="3" t="str">
        <f>テーブル2[[#This Row],[No.]]&amp;"_"&amp;テーブル2[[#This Row],[TriggerValue]]</f>
        <v>219_99</v>
      </c>
      <c r="H220" s="12"/>
    </row>
  </sheetData>
  <phoneticPr fontId="1"/>
  <conditionalFormatting sqref="D1:D1048576">
    <cfRule type="duplicateValues" dxfId="12" priority="4"/>
  </conditionalFormatting>
  <conditionalFormatting sqref="G1:G1048576">
    <cfRule type="duplicateValues" dxfId="11" priority="1"/>
    <cfRule type="duplicateValues" dxfId="10" priority="3"/>
  </conditionalFormatting>
  <conditionalFormatting sqref="C1:C1048576">
    <cfRule type="duplicateValues" dxfId="9" priority="2"/>
  </conditionalFormatting>
  <pageMargins left="0.7" right="0.7" top="0.75" bottom="0.75" header="0.3" footer="0.3"/>
  <pageSetup paperSize="9"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F5368-73DC-4DD2-BCA9-477FE4C5E248}">
  <sheetPr codeName="Sheet1"/>
  <dimension ref="B1:X48"/>
  <sheetViews>
    <sheetView workbookViewId="0">
      <selection activeCell="L41" sqref="L41"/>
    </sheetView>
  </sheetViews>
  <sheetFormatPr defaultRowHeight="15.75" x14ac:dyDescent="0.4"/>
  <cols>
    <col min="1" max="1" width="9" style="19"/>
    <col min="2" max="2" width="10.25" style="18" bestFit="1" customWidth="1"/>
    <col min="3" max="3" width="10.75" style="19" bestFit="1" customWidth="1"/>
    <col min="4" max="6" width="9" style="19"/>
    <col min="7" max="7" width="11.5" style="19" bestFit="1" customWidth="1"/>
    <col min="8" max="11" width="9" style="19"/>
    <col min="12" max="18" width="9" style="125"/>
    <col min="19" max="16384" width="9" style="19"/>
  </cols>
  <sheetData>
    <row r="1" spans="2:24" x14ac:dyDescent="0.4">
      <c r="B1" s="18" t="s">
        <v>124</v>
      </c>
      <c r="C1" s="19" t="s">
        <v>125</v>
      </c>
      <c r="D1" s="19" t="s">
        <v>126</v>
      </c>
    </row>
    <row r="2" spans="2:24" x14ac:dyDescent="0.4">
      <c r="B2" s="18">
        <v>46162</v>
      </c>
      <c r="C2" s="19" t="s">
        <v>127</v>
      </c>
      <c r="D2" s="19" t="s">
        <v>128</v>
      </c>
      <c r="L2" s="126" t="s">
        <v>1519</v>
      </c>
    </row>
    <row r="3" spans="2:24" x14ac:dyDescent="0.4">
      <c r="B3" s="18">
        <v>46162</v>
      </c>
      <c r="C3" s="19" t="s">
        <v>150</v>
      </c>
      <c r="D3" s="19" t="s">
        <v>151</v>
      </c>
      <c r="L3" s="125" t="s">
        <v>1650</v>
      </c>
    </row>
    <row r="4" spans="2:24" x14ac:dyDescent="0.4">
      <c r="B4" s="18">
        <v>46170</v>
      </c>
      <c r="C4" s="19" t="s">
        <v>644</v>
      </c>
      <c r="D4" s="19" t="s">
        <v>645</v>
      </c>
      <c r="H4" s="19" t="s">
        <v>709</v>
      </c>
    </row>
    <row r="5" spans="2:24" x14ac:dyDescent="0.4">
      <c r="B5" s="18">
        <v>46171</v>
      </c>
      <c r="C5" s="19" t="s">
        <v>713</v>
      </c>
      <c r="D5" s="19" t="s">
        <v>714</v>
      </c>
      <c r="L5" s="126" t="s">
        <v>1651</v>
      </c>
    </row>
    <row r="6" spans="2:24" x14ac:dyDescent="0.4">
      <c r="B6" s="18">
        <v>46177</v>
      </c>
      <c r="C6" s="19" t="s">
        <v>1497</v>
      </c>
      <c r="D6" s="19" t="s">
        <v>1498</v>
      </c>
      <c r="L6" s="127" t="s">
        <v>1673</v>
      </c>
    </row>
    <row r="7" spans="2:24" x14ac:dyDescent="0.4">
      <c r="B7" s="18">
        <v>46177</v>
      </c>
      <c r="C7" s="19" t="s">
        <v>1497</v>
      </c>
      <c r="D7" s="19" t="s">
        <v>1499</v>
      </c>
      <c r="L7" s="127" t="s">
        <v>1674</v>
      </c>
    </row>
    <row r="8" spans="2:24" x14ac:dyDescent="0.4">
      <c r="B8" s="18">
        <v>46181</v>
      </c>
      <c r="C8" s="19" t="s">
        <v>1504</v>
      </c>
      <c r="D8" s="19" t="s">
        <v>1505</v>
      </c>
      <c r="L8" s="127" t="s">
        <v>1675</v>
      </c>
    </row>
    <row r="9" spans="2:24" x14ac:dyDescent="0.4">
      <c r="B9" s="18">
        <v>46182</v>
      </c>
      <c r="C9" s="19" t="s">
        <v>1517</v>
      </c>
      <c r="D9" s="19" t="s">
        <v>1518</v>
      </c>
      <c r="L9" s="127" t="s">
        <v>1676</v>
      </c>
    </row>
    <row r="10" spans="2:24" x14ac:dyDescent="0.4">
      <c r="B10" s="18">
        <v>46182</v>
      </c>
      <c r="C10" s="19" t="s">
        <v>1517</v>
      </c>
      <c r="D10" s="19" t="s">
        <v>1525</v>
      </c>
      <c r="L10" s="125" t="s">
        <v>1678</v>
      </c>
    </row>
    <row r="11" spans="2:24" s="100" customFormat="1" x14ac:dyDescent="0.4">
      <c r="B11" s="99">
        <v>46182</v>
      </c>
      <c r="C11" s="100" t="s">
        <v>1516</v>
      </c>
      <c r="D11" s="100" t="s">
        <v>1526</v>
      </c>
      <c r="L11" s="125"/>
      <c r="M11" s="125" t="s">
        <v>1680</v>
      </c>
      <c r="N11" s="125"/>
      <c r="O11" s="125"/>
      <c r="P11" s="125"/>
      <c r="Q11" s="125"/>
      <c r="R11" s="125"/>
      <c r="S11" s="19"/>
      <c r="T11" s="19"/>
      <c r="U11" s="19"/>
      <c r="V11" s="19"/>
      <c r="W11" s="19"/>
      <c r="X11" s="19"/>
    </row>
    <row r="12" spans="2:24" x14ac:dyDescent="0.4">
      <c r="B12" s="18">
        <v>46184</v>
      </c>
      <c r="C12" s="19" t="s">
        <v>1517</v>
      </c>
      <c r="D12" s="19" t="s">
        <v>1540</v>
      </c>
      <c r="M12" s="125" t="s">
        <v>1681</v>
      </c>
    </row>
    <row r="13" spans="2:24" x14ac:dyDescent="0.4">
      <c r="B13" s="18">
        <v>46184</v>
      </c>
      <c r="C13" s="19" t="s">
        <v>1517</v>
      </c>
      <c r="D13" s="19" t="s">
        <v>1544</v>
      </c>
    </row>
    <row r="14" spans="2:24" x14ac:dyDescent="0.4">
      <c r="B14" s="18">
        <v>46184</v>
      </c>
      <c r="C14" s="19" t="s">
        <v>1648</v>
      </c>
      <c r="D14" s="19" t="s">
        <v>1649</v>
      </c>
    </row>
    <row r="15" spans="2:24" x14ac:dyDescent="0.4">
      <c r="B15" s="18">
        <v>46185</v>
      </c>
      <c r="C15" s="19" t="s">
        <v>1655</v>
      </c>
      <c r="D15" s="19" t="s">
        <v>1656</v>
      </c>
    </row>
    <row r="16" spans="2:24" x14ac:dyDescent="0.4">
      <c r="B16" s="18">
        <v>46189</v>
      </c>
      <c r="C16" s="19" t="s">
        <v>1517</v>
      </c>
      <c r="D16" s="19" t="s">
        <v>1694</v>
      </c>
      <c r="G16" s="129">
        <v>46189</v>
      </c>
    </row>
    <row r="17" spans="2:24" x14ac:dyDescent="0.4">
      <c r="D17" s="19" t="s">
        <v>1683</v>
      </c>
      <c r="G17" s="129">
        <v>46189</v>
      </c>
      <c r="M17" s="125" t="s">
        <v>1652</v>
      </c>
      <c r="W17" s="100"/>
      <c r="X17" s="100"/>
    </row>
    <row r="18" spans="2:24" x14ac:dyDescent="0.4">
      <c r="D18" s="19" t="s">
        <v>1684</v>
      </c>
      <c r="G18" s="129">
        <v>46189</v>
      </c>
      <c r="M18" s="125" t="s">
        <v>1677</v>
      </c>
    </row>
    <row r="19" spans="2:24" x14ac:dyDescent="0.4">
      <c r="D19" s="19" t="s">
        <v>1685</v>
      </c>
      <c r="G19" s="129">
        <v>46189</v>
      </c>
      <c r="N19" s="125" t="s">
        <v>1653</v>
      </c>
      <c r="T19" s="19" t="s">
        <v>1654</v>
      </c>
    </row>
    <row r="20" spans="2:24" x14ac:dyDescent="0.4">
      <c r="D20" s="19" t="s">
        <v>1686</v>
      </c>
      <c r="N20" s="125" t="s">
        <v>1662</v>
      </c>
    </row>
    <row r="21" spans="2:24" x14ac:dyDescent="0.4">
      <c r="D21" s="19" t="s">
        <v>1687</v>
      </c>
      <c r="N21" s="125" t="s">
        <v>1663</v>
      </c>
    </row>
    <row r="22" spans="2:24" x14ac:dyDescent="0.4">
      <c r="D22" s="19" t="s">
        <v>1688</v>
      </c>
      <c r="N22" s="125" t="s">
        <v>1664</v>
      </c>
    </row>
    <row r="23" spans="2:24" x14ac:dyDescent="0.4">
      <c r="D23" s="19" t="s">
        <v>1689</v>
      </c>
      <c r="N23" s="125" t="s">
        <v>1665</v>
      </c>
      <c r="S23" s="100"/>
      <c r="T23" s="100"/>
      <c r="U23" s="100"/>
      <c r="V23" s="100"/>
    </row>
    <row r="24" spans="2:24" x14ac:dyDescent="0.4">
      <c r="D24" s="19" t="s">
        <v>1690</v>
      </c>
    </row>
    <row r="25" spans="2:24" x14ac:dyDescent="0.4">
      <c r="D25" s="19" t="s">
        <v>1691</v>
      </c>
      <c r="N25" s="126" t="s">
        <v>1666</v>
      </c>
    </row>
    <row r="26" spans="2:24" x14ac:dyDescent="0.4">
      <c r="D26" s="19" t="s">
        <v>1692</v>
      </c>
      <c r="N26" s="125" t="s">
        <v>1667</v>
      </c>
      <c r="P26" s="125" t="s">
        <v>1668</v>
      </c>
      <c r="Q26" s="125" t="s">
        <v>1670</v>
      </c>
      <c r="S26" s="19" t="s">
        <v>1668</v>
      </c>
      <c r="T26" s="128" t="s">
        <v>1682</v>
      </c>
      <c r="U26" s="128"/>
      <c r="V26" s="128"/>
    </row>
    <row r="27" spans="2:24" x14ac:dyDescent="0.4">
      <c r="D27" s="19" t="s">
        <v>1693</v>
      </c>
      <c r="S27" s="19" t="s">
        <v>1669</v>
      </c>
      <c r="T27" s="128" t="s">
        <v>1672</v>
      </c>
      <c r="U27" s="128"/>
      <c r="V27" s="128"/>
    </row>
    <row r="28" spans="2:24" x14ac:dyDescent="0.4">
      <c r="B28" s="18">
        <v>46189</v>
      </c>
      <c r="C28" s="19" t="s">
        <v>1517</v>
      </c>
      <c r="D28" s="19" t="s">
        <v>1695</v>
      </c>
      <c r="P28" s="125" t="s">
        <v>1669</v>
      </c>
      <c r="Q28" s="125" t="s">
        <v>1671</v>
      </c>
    </row>
    <row r="29" spans="2:24" x14ac:dyDescent="0.4">
      <c r="B29" s="18">
        <v>46189</v>
      </c>
      <c r="C29" s="19" t="s">
        <v>1696</v>
      </c>
      <c r="D29" s="19" t="s">
        <v>1697</v>
      </c>
      <c r="W29" s="100"/>
    </row>
    <row r="30" spans="2:24" x14ac:dyDescent="0.4">
      <c r="B30" s="130">
        <v>46189</v>
      </c>
      <c r="C30" s="131" t="s">
        <v>1710</v>
      </c>
      <c r="D30" s="131" t="s">
        <v>1711</v>
      </c>
      <c r="E30" s="131"/>
      <c r="F30" s="131"/>
      <c r="L30" s="125" t="s">
        <v>1679</v>
      </c>
      <c r="W30" s="100"/>
    </row>
    <row r="43" spans="21:22" x14ac:dyDescent="0.4">
      <c r="V43" s="100"/>
    </row>
    <row r="48" spans="21:22" x14ac:dyDescent="0.4">
      <c r="U48" s="100"/>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804CC-9D5C-40F5-9551-E19DA31A087E}">
  <sheetPr codeName="Sheet2"/>
  <dimension ref="B1:V28"/>
  <sheetViews>
    <sheetView workbookViewId="0"/>
  </sheetViews>
  <sheetFormatPr defaultRowHeight="18.75" x14ac:dyDescent="0.4"/>
  <cols>
    <col min="8" max="18" width="9" style="8"/>
  </cols>
  <sheetData>
    <row r="1" spans="2:22" x14ac:dyDescent="0.4">
      <c r="H1" s="8" t="s">
        <v>131</v>
      </c>
      <c r="I1" s="8" t="s">
        <v>28</v>
      </c>
      <c r="J1" s="8" t="s">
        <v>132</v>
      </c>
      <c r="K1" s="8" t="s">
        <v>133</v>
      </c>
      <c r="L1" s="8" t="s">
        <v>134</v>
      </c>
      <c r="M1" s="8" t="s">
        <v>135</v>
      </c>
      <c r="N1" s="8" t="s">
        <v>136</v>
      </c>
      <c r="O1" s="8" t="s">
        <v>137</v>
      </c>
      <c r="P1" s="8" t="s">
        <v>138</v>
      </c>
      <c r="Q1" s="8" t="s">
        <v>139</v>
      </c>
      <c r="R1" s="8" t="s">
        <v>140</v>
      </c>
    </row>
    <row r="2" spans="2:22" x14ac:dyDescent="0.4">
      <c r="B2" t="s">
        <v>129</v>
      </c>
      <c r="C2" t="s">
        <v>141</v>
      </c>
      <c r="H2" s="8">
        <v>46162</v>
      </c>
      <c r="I2" s="8">
        <v>46163</v>
      </c>
      <c r="J2" s="8">
        <v>46163</v>
      </c>
      <c r="K2" s="8">
        <v>46164</v>
      </c>
      <c r="L2" s="8">
        <v>46164</v>
      </c>
      <c r="M2" s="8">
        <v>46164</v>
      </c>
      <c r="O2" s="8">
        <v>46164</v>
      </c>
      <c r="P2" s="8">
        <v>46164</v>
      </c>
    </row>
    <row r="3" spans="2:22" x14ac:dyDescent="0.4">
      <c r="D3" t="s">
        <v>130</v>
      </c>
    </row>
    <row r="8" spans="2:22" x14ac:dyDescent="0.4">
      <c r="B8" t="s">
        <v>273</v>
      </c>
      <c r="C8" t="s">
        <v>280</v>
      </c>
      <c r="D8" t="s">
        <v>279</v>
      </c>
    </row>
    <row r="9" spans="2:22" x14ac:dyDescent="0.4">
      <c r="C9" t="s">
        <v>282</v>
      </c>
      <c r="D9" t="s">
        <v>275</v>
      </c>
      <c r="N9" s="10" t="s">
        <v>635</v>
      </c>
      <c r="O9" s="10"/>
      <c r="P9" s="10"/>
      <c r="Q9" s="10"/>
      <c r="R9" s="10"/>
      <c r="S9" s="11"/>
      <c r="T9" s="11"/>
      <c r="U9" s="11"/>
      <c r="V9" s="11"/>
    </row>
    <row r="10" spans="2:22" x14ac:dyDescent="0.4">
      <c r="C10" t="s">
        <v>281</v>
      </c>
      <c r="D10" t="s">
        <v>276</v>
      </c>
      <c r="N10" s="10" t="s">
        <v>638</v>
      </c>
      <c r="P10" s="10"/>
      <c r="Q10" s="10"/>
      <c r="R10" s="10"/>
      <c r="S10" s="11"/>
      <c r="T10" s="11"/>
      <c r="U10" s="11"/>
      <c r="V10" s="11"/>
    </row>
    <row r="11" spans="2:22" x14ac:dyDescent="0.4">
      <c r="C11" t="s">
        <v>281</v>
      </c>
      <c r="D11" t="s">
        <v>274</v>
      </c>
      <c r="O11" s="10" t="s">
        <v>28</v>
      </c>
      <c r="P11" s="10" t="s">
        <v>29</v>
      </c>
      <c r="Q11" s="10"/>
      <c r="R11" s="10"/>
      <c r="S11" s="11"/>
      <c r="T11" s="11"/>
      <c r="U11" s="11"/>
      <c r="V11" s="11"/>
    </row>
    <row r="12" spans="2:22" x14ac:dyDescent="0.4">
      <c r="C12" t="s">
        <v>281</v>
      </c>
      <c r="D12" t="s">
        <v>277</v>
      </c>
      <c r="O12" s="10"/>
      <c r="P12" s="10" t="s">
        <v>636</v>
      </c>
      <c r="Q12" s="10"/>
      <c r="R12" s="10"/>
      <c r="S12" s="11"/>
      <c r="T12" s="11"/>
      <c r="U12" s="11"/>
      <c r="V12" s="11"/>
    </row>
    <row r="13" spans="2:22" x14ac:dyDescent="0.4">
      <c r="C13" t="s">
        <v>283</v>
      </c>
      <c r="D13" t="s">
        <v>278</v>
      </c>
      <c r="O13" s="10"/>
      <c r="P13" s="10" t="s">
        <v>637</v>
      </c>
      <c r="Q13" s="10"/>
      <c r="R13" s="10"/>
      <c r="S13" s="11"/>
      <c r="T13" s="11"/>
      <c r="U13" s="11"/>
      <c r="V13" s="11"/>
    </row>
    <row r="14" spans="2:22" x14ac:dyDescent="0.4">
      <c r="N14" s="10"/>
      <c r="O14" s="10"/>
      <c r="P14" s="10"/>
      <c r="Q14" s="10"/>
      <c r="R14" s="10"/>
      <c r="S14" s="11"/>
      <c r="T14" s="11"/>
      <c r="U14" s="11"/>
      <c r="V14" s="11"/>
    </row>
    <row r="15" spans="2:22" x14ac:dyDescent="0.4">
      <c r="N15" s="10"/>
      <c r="O15" s="10"/>
      <c r="P15" s="10"/>
      <c r="Q15" s="10"/>
      <c r="R15" s="10"/>
      <c r="S15" s="11"/>
      <c r="T15" s="11"/>
      <c r="U15" s="11"/>
      <c r="V15" s="11"/>
    </row>
    <row r="16" spans="2:22" x14ac:dyDescent="0.4">
      <c r="C16" s="9" t="s">
        <v>591</v>
      </c>
      <c r="D16" s="9"/>
      <c r="E16" s="9"/>
      <c r="F16" s="9"/>
      <c r="N16" s="10" t="s">
        <v>1500</v>
      </c>
      <c r="O16" s="10"/>
      <c r="P16" s="10"/>
      <c r="Q16" s="10"/>
      <c r="R16" s="10"/>
      <c r="S16" s="11"/>
      <c r="T16" s="11"/>
      <c r="U16" s="11"/>
      <c r="V16" s="11"/>
    </row>
    <row r="17" spans="3:22" x14ac:dyDescent="0.4">
      <c r="C17" s="9" t="s">
        <v>590</v>
      </c>
      <c r="D17" s="9"/>
      <c r="E17" s="9"/>
      <c r="F17" s="9"/>
      <c r="N17" s="10" t="s">
        <v>1501</v>
      </c>
      <c r="O17" s="10"/>
      <c r="P17" s="10"/>
      <c r="Q17" s="10"/>
      <c r="R17" s="10"/>
      <c r="S17" s="11"/>
      <c r="T17" s="11"/>
      <c r="U17" s="11"/>
      <c r="V17" s="11"/>
    </row>
    <row r="18" spans="3:22" x14ac:dyDescent="0.4">
      <c r="C18" s="9"/>
      <c r="D18" s="9"/>
      <c r="E18" s="9"/>
      <c r="F18" s="9"/>
      <c r="N18" s="10" t="s">
        <v>1502</v>
      </c>
      <c r="O18" s="10"/>
      <c r="P18" s="10"/>
      <c r="Q18" s="10"/>
      <c r="R18" s="10"/>
      <c r="S18" s="11"/>
      <c r="T18" s="11"/>
      <c r="U18" s="11"/>
      <c r="V18" s="11"/>
    </row>
    <row r="19" spans="3:22" x14ac:dyDescent="0.4">
      <c r="C19" t="s">
        <v>586</v>
      </c>
      <c r="N19" s="10" t="s">
        <v>1503</v>
      </c>
      <c r="O19" s="10"/>
      <c r="P19" s="10"/>
      <c r="Q19" s="10"/>
      <c r="R19" s="10"/>
      <c r="S19" s="11"/>
      <c r="T19" s="11"/>
      <c r="U19" s="11"/>
      <c r="V19" s="11"/>
    </row>
    <row r="20" spans="3:22" x14ac:dyDescent="0.4">
      <c r="C20" t="s">
        <v>587</v>
      </c>
      <c r="N20" s="10"/>
      <c r="O20" s="10"/>
      <c r="P20" s="10"/>
      <c r="Q20" s="10"/>
      <c r="R20" s="10"/>
      <c r="S20" s="11"/>
      <c r="T20" s="11"/>
      <c r="U20" s="11"/>
      <c r="V20" s="11"/>
    </row>
    <row r="21" spans="3:22" x14ac:dyDescent="0.4">
      <c r="C21" t="s">
        <v>588</v>
      </c>
      <c r="N21" s="10"/>
      <c r="O21" s="10"/>
      <c r="P21" s="10"/>
      <c r="Q21" s="10"/>
      <c r="R21" s="10"/>
      <c r="S21" s="11"/>
      <c r="T21" s="11"/>
      <c r="U21" s="11"/>
      <c r="V21" s="11"/>
    </row>
    <row r="22" spans="3:22" x14ac:dyDescent="0.4">
      <c r="C22" t="s">
        <v>589</v>
      </c>
      <c r="N22" s="10"/>
      <c r="O22" s="10"/>
      <c r="P22" s="10"/>
      <c r="Q22" s="10"/>
      <c r="R22" s="10"/>
      <c r="S22" s="11"/>
      <c r="T22" s="11"/>
      <c r="U22" s="11"/>
      <c r="V22" s="11"/>
    </row>
    <row r="23" spans="3:22" x14ac:dyDescent="0.4">
      <c r="N23" s="10"/>
      <c r="O23" s="10"/>
      <c r="P23" s="10"/>
      <c r="Q23" s="10"/>
      <c r="R23" s="10"/>
      <c r="S23" s="11"/>
      <c r="T23" s="11"/>
      <c r="U23" s="11"/>
      <c r="V23" s="11"/>
    </row>
    <row r="24" spans="3:22" x14ac:dyDescent="0.4">
      <c r="N24" s="10"/>
      <c r="O24" s="10"/>
      <c r="P24" s="10"/>
      <c r="Q24" s="10"/>
      <c r="R24" s="10"/>
      <c r="S24" s="11"/>
      <c r="T24" s="11"/>
      <c r="U24" s="11"/>
      <c r="V24" s="11"/>
    </row>
    <row r="25" spans="3:22" x14ac:dyDescent="0.4">
      <c r="N25" s="10"/>
      <c r="O25" s="10"/>
      <c r="P25" s="10"/>
      <c r="Q25" s="10"/>
      <c r="R25" s="10"/>
      <c r="S25" s="11"/>
      <c r="T25" s="11"/>
      <c r="U25" s="11"/>
      <c r="V25" s="11"/>
    </row>
    <row r="26" spans="3:22" x14ac:dyDescent="0.4">
      <c r="N26" s="10"/>
      <c r="O26" s="10"/>
      <c r="P26" s="10"/>
      <c r="Q26" s="10"/>
      <c r="R26" s="10"/>
      <c r="S26" s="11"/>
      <c r="T26" s="11"/>
      <c r="U26" s="11"/>
      <c r="V26" s="11"/>
    </row>
    <row r="27" spans="3:22" x14ac:dyDescent="0.4">
      <c r="N27" s="10"/>
      <c r="O27" s="10"/>
      <c r="P27" s="10"/>
      <c r="Q27" s="10"/>
      <c r="R27" s="10"/>
      <c r="S27" s="11"/>
      <c r="T27" s="11"/>
      <c r="U27" s="11"/>
      <c r="V27" s="11"/>
    </row>
    <row r="28" spans="3:22" x14ac:dyDescent="0.4">
      <c r="N28" s="10"/>
      <c r="O28" s="10"/>
      <c r="P28" s="10"/>
      <c r="Q28" s="10"/>
      <c r="R28" s="10"/>
      <c r="S28" s="11"/>
      <c r="T28" s="11"/>
      <c r="U28" s="11"/>
      <c r="V28" s="11"/>
    </row>
  </sheetData>
  <phoneticPr fontId="1"/>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488</vt:i4>
      </vt:variant>
    </vt:vector>
  </HeadingPairs>
  <TitlesOfParts>
    <vt:vector size="496" baseType="lpstr">
      <vt:lpstr>OUTPUT_RAW</vt:lpstr>
      <vt:lpstr>OUTPUT</vt:lpstr>
      <vt:lpstr>_INPUT_</vt:lpstr>
      <vt:lpstr>INPUT</vt:lpstr>
      <vt:lpstr>Settings</vt:lpstr>
      <vt:lpstr>Rules</vt:lpstr>
      <vt:lpstr>忘備録</vt:lpstr>
      <vt:lpstr>工程計画</vt:lpstr>
      <vt:lpstr>コージュネ_PUの給湯排熱利用率</vt:lpstr>
      <vt:lpstr>コージュネ_PUの日平均排熱効率_下限値_小数点以下4桁</vt:lpstr>
      <vt:lpstr>コージュネ_PUの日平均排熱効率_係数a_DHW_小数点以下6桁</vt:lpstr>
      <vt:lpstr>コージュネ_PUの日平均排熱効率_係数a_HWH_小数点以下6桁</vt:lpstr>
      <vt:lpstr>コージュネ_PUの日平均排熱効率_係数a_PU_小数点以下6桁</vt:lpstr>
      <vt:lpstr>コージュネ_PUの日平均排熱効率_係数b_小数点以下4桁</vt:lpstr>
      <vt:lpstr>コージュネ_PUの日平均排熱効率_上限値_小数点以下4桁</vt:lpstr>
      <vt:lpstr>コージュネ_PUの日平均発電効率_下限値_小数点以下4桁</vt:lpstr>
      <vt:lpstr>コージュネ_PUの日平均発電効率_係数a_DHW_小数点以下6桁</vt:lpstr>
      <vt:lpstr>コージュネ_PUの日平均発電効率_係数a_HWH_小数点以下6桁</vt:lpstr>
      <vt:lpstr>コージュネ_PUの日平均発電効率_係数a_PU_小数点以下6桁</vt:lpstr>
      <vt:lpstr>コージュネ_PUの日平均発電効率_係数b_小数点以下4桁</vt:lpstr>
      <vt:lpstr>コージュネ_PUの日平均発電効率_上限値_小数点以下4桁</vt:lpstr>
      <vt:lpstr>コージュネ_PUの排熱量推定時の仮想燃料消費量_係数a_DHW_小数点以下4桁</vt:lpstr>
      <vt:lpstr>コージュネ_PUの排熱量推定時の仮想燃料消費量_係数a_HWH_小数点以下4桁</vt:lpstr>
      <vt:lpstr>コージュネ_PUの排熱量推定時の仮想排熱量上限比_係数a_DHW_小数点以下4桁</vt:lpstr>
      <vt:lpstr>コージュネ_PUの排熱量推定時の仮想排熱量上限比_係数a_HWH_小数点以下4桁</vt:lpstr>
      <vt:lpstr>コージュネ_PUの排熱量推定時の仮想排熱量上限比_係数b_小数点以下4桁</vt:lpstr>
      <vt:lpstr>コージュネ_PUの発電量推定時の仮想発電量_係数a_DHW_小数点以下4桁</vt:lpstr>
      <vt:lpstr>コージュネ_PUの発電量推定時の仮想発電量_係数a_HWH_小数点以下4桁</vt:lpstr>
      <vt:lpstr>コージュネ_PUの発電量推定時の仮想発電量_係数a_PU_小数点以下4桁</vt:lpstr>
      <vt:lpstr>コージュネ_PUの発電量推定時の仮想発電量_係数b_小数点以下4桁</vt:lpstr>
      <vt:lpstr>コージュネ_PUの発電量推定時の仮想発電量_係数c_小数点以下4桁</vt:lpstr>
      <vt:lpstr>コージュネ_TUの補機消費電力</vt:lpstr>
      <vt:lpstr>コージュネ_コージェネレーションの区分</vt:lpstr>
      <vt:lpstr>コージュネ_コージェネレーションの種類</vt:lpstr>
      <vt:lpstr>コージュネ_コージェネレーション機器の指定</vt:lpstr>
      <vt:lpstr>コージュネ_コージェネレーション設備</vt:lpstr>
      <vt:lpstr>コージュネ_バックアップボイラーの種類</vt:lpstr>
      <vt:lpstr>コージュネ_温水暖房への排熱利用</vt:lpstr>
      <vt:lpstr>コージュネ_逆潮流</vt:lpstr>
      <vt:lpstr>コージュネ_逆潮流の評価</vt:lpstr>
      <vt:lpstr>コージュネ_定格発電出力</vt:lpstr>
      <vt:lpstr>コージュネ_品番_メーカ名_品番等の一部</vt:lpstr>
      <vt:lpstr>コージュネ01</vt:lpstr>
      <vt:lpstr>コージュネ02</vt:lpstr>
      <vt:lpstr>コージュネ03</vt:lpstr>
      <vt:lpstr>コージュネ04</vt:lpstr>
      <vt:lpstr>コージュネ05</vt:lpstr>
      <vt:lpstr>コージュネ06</vt:lpstr>
      <vt:lpstr>コージュネ07</vt:lpstr>
      <vt:lpstr>コージュネ08</vt:lpstr>
      <vt:lpstr>コージュネ09</vt:lpstr>
      <vt:lpstr>コージュネ10</vt:lpstr>
      <vt:lpstr>コージュネ11</vt:lpstr>
      <vt:lpstr>コージュネ12</vt:lpstr>
      <vt:lpstr>コージュネ13</vt:lpstr>
      <vt:lpstr>コージュネ14</vt:lpstr>
      <vt:lpstr>コージュネ15</vt:lpstr>
      <vt:lpstr>コージュネ16</vt:lpstr>
      <vt:lpstr>コージュネ17</vt:lpstr>
      <vt:lpstr>コージュネ18</vt:lpstr>
      <vt:lpstr>コージュネ19</vt:lpstr>
      <vt:lpstr>コージュネ20</vt:lpstr>
      <vt:lpstr>コージュネ21</vt:lpstr>
      <vt:lpstr>コージュネ22</vt:lpstr>
      <vt:lpstr>コージュネ23</vt:lpstr>
      <vt:lpstr>コージュネ24</vt:lpstr>
      <vt:lpstr>コージュネ25</vt:lpstr>
      <vt:lpstr>コージュネ26</vt:lpstr>
      <vt:lpstr>コージュネ27</vt:lpstr>
      <vt:lpstr>コージュネ28</vt:lpstr>
      <vt:lpstr>コージュネ29</vt:lpstr>
      <vt:lpstr>コージュネ30</vt:lpstr>
      <vt:lpstr>コージュネ31</vt:lpstr>
      <vt:lpstr>コージュネ32</vt:lpstr>
      <vt:lpstr>コージュネ33</vt:lpstr>
      <vt:lpstr>コージュネ34</vt:lpstr>
      <vt:lpstr>外皮_外気が経由する床下の面積の割合</vt:lpstr>
      <vt:lpstr>外皮_外皮性能の評価方法</vt:lpstr>
      <vt:lpstr>外皮_外皮平均熱貫流率</vt:lpstr>
      <vt:lpstr>外皮_外皮面積の合計</vt:lpstr>
      <vt:lpstr>外皮_床下空間の断熱</vt:lpstr>
      <vt:lpstr>外皮_床下空間を経由して外気を導入する換気方式の利用</vt:lpstr>
      <vt:lpstr>外皮_暖房期の平均日射熱取得率</vt:lpstr>
      <vt:lpstr>外皮_蓄熱の利用</vt:lpstr>
      <vt:lpstr>外皮_通風の利用_その他の居室</vt:lpstr>
      <vt:lpstr>外皮_通風の利用_主たる居室</vt:lpstr>
      <vt:lpstr>外皮_冷房期の平均日射熱取得率</vt:lpstr>
      <vt:lpstr>外皮01</vt:lpstr>
      <vt:lpstr>外皮02</vt:lpstr>
      <vt:lpstr>外皮03</vt:lpstr>
      <vt:lpstr>外皮04</vt:lpstr>
      <vt:lpstr>外皮05</vt:lpstr>
      <vt:lpstr>外皮06</vt:lpstr>
      <vt:lpstr>外皮07</vt:lpstr>
      <vt:lpstr>外皮08</vt:lpstr>
      <vt:lpstr>外皮09</vt:lpstr>
      <vt:lpstr>外皮10</vt:lpstr>
      <vt:lpstr>外皮11</vt:lpstr>
      <vt:lpstr>換気_換気回数</vt:lpstr>
      <vt:lpstr>換気_換気設備の方式</vt:lpstr>
      <vt:lpstr>換気_省エネルギー手法</vt:lpstr>
      <vt:lpstr>換気_第一種換気設備の有効換気量率</vt:lpstr>
      <vt:lpstr>換気_第一種換気設備の有効換気量率の入力</vt:lpstr>
      <vt:lpstr>換気_比消費電力</vt:lpstr>
      <vt:lpstr>換気_比消費電力の入力</vt:lpstr>
      <vt:lpstr>換気01</vt:lpstr>
      <vt:lpstr>換気02</vt:lpstr>
      <vt:lpstr>換気03</vt:lpstr>
      <vt:lpstr>換気04</vt:lpstr>
      <vt:lpstr>換気05</vt:lpstr>
      <vt:lpstr>換気06</vt:lpstr>
      <vt:lpstr>換気07</vt:lpstr>
      <vt:lpstr>基本_その他の居室の有無</vt:lpstr>
      <vt:lpstr>基本_居室の構成</vt:lpstr>
      <vt:lpstr>基本_住戸の評価方法</vt:lpstr>
      <vt:lpstr>基本_住宅タイプの名称</vt:lpstr>
      <vt:lpstr>基本_住宅の建て方</vt:lpstr>
      <vt:lpstr>基本_床面積_その他の居室</vt:lpstr>
      <vt:lpstr>基本_床面積_合計</vt:lpstr>
      <vt:lpstr>基本_床面積_主たる居室</vt:lpstr>
      <vt:lpstr>基本_地域の区分</vt:lpstr>
      <vt:lpstr>基本_入力責任者</vt:lpstr>
      <vt:lpstr>基本_年間の日射地域区分</vt:lpstr>
      <vt:lpstr>基本_年間の日射地域区分の指定</vt:lpstr>
      <vt:lpstr>基本_非居室の有無</vt:lpstr>
      <vt:lpstr>基本01</vt:lpstr>
      <vt:lpstr>基本02</vt:lpstr>
      <vt:lpstr>基本03</vt:lpstr>
      <vt:lpstr>基本04</vt:lpstr>
      <vt:lpstr>基本05</vt:lpstr>
      <vt:lpstr>基本06</vt:lpstr>
      <vt:lpstr>基本07</vt:lpstr>
      <vt:lpstr>基本08</vt:lpstr>
      <vt:lpstr>基本09</vt:lpstr>
      <vt:lpstr>基本10</vt:lpstr>
      <vt:lpstr>基本11</vt:lpstr>
      <vt:lpstr>基本12</vt:lpstr>
      <vt:lpstr>基本13</vt:lpstr>
      <vt:lpstr>給湯_その他の給湯設備機器の名称</vt:lpstr>
      <vt:lpstr>給湯_タンクユニット容量</vt:lpstr>
      <vt:lpstr>給湯_ふろ機能の種類</vt:lpstr>
      <vt:lpstr>給湯_給湯設備・浴室等の有無</vt:lpstr>
      <vt:lpstr>給湯_効率の入力_ガス給湯温水暖房機</vt:lpstr>
      <vt:lpstr>給湯_効率の入力_ガス給湯機</vt:lpstr>
      <vt:lpstr>給湯_効率の入力_石油給湯機</vt:lpstr>
      <vt:lpstr>給湯_効率の入力_石油従来型給湯温水暖房機</vt:lpstr>
      <vt:lpstr>給湯_効率の入力_石油潜熱回収型給湯温水暖房機</vt:lpstr>
      <vt:lpstr>給湯_洗面水栓</vt:lpstr>
      <vt:lpstr>給湯_台所水栓</vt:lpstr>
      <vt:lpstr>給湯_電気ヒートポンプ・ガス瞬間式併用型給湯温水暖房機の区分</vt:lpstr>
      <vt:lpstr>給湯_電気ヒートポンプ・ガス瞬間式併用型給湯機の指定</vt:lpstr>
      <vt:lpstr>給湯_電気ヒートポンプ給湯機の指定</vt:lpstr>
      <vt:lpstr>給湯_熱源機の種類</vt:lpstr>
      <vt:lpstr>給湯_配管方式</vt:lpstr>
      <vt:lpstr>給湯_品番_メーカ名_品番等</vt:lpstr>
      <vt:lpstr>給湯_浴室シャワー水栓</vt:lpstr>
      <vt:lpstr>給湯_浴槽の保温措置</vt:lpstr>
      <vt:lpstr>給湯_冷媒の種類</vt:lpstr>
      <vt:lpstr>給湯01</vt:lpstr>
      <vt:lpstr>給湯02</vt:lpstr>
      <vt:lpstr>給湯03</vt:lpstr>
      <vt:lpstr>給湯04</vt:lpstr>
      <vt:lpstr>給湯05</vt:lpstr>
      <vt:lpstr>給湯06</vt:lpstr>
      <vt:lpstr>給湯07</vt:lpstr>
      <vt:lpstr>給湯08</vt:lpstr>
      <vt:lpstr>給湯09</vt:lpstr>
      <vt:lpstr>給湯10</vt:lpstr>
      <vt:lpstr>給湯11</vt:lpstr>
      <vt:lpstr>給湯12</vt:lpstr>
      <vt:lpstr>給湯13</vt:lpstr>
      <vt:lpstr>給湯14</vt:lpstr>
      <vt:lpstr>給湯15</vt:lpstr>
      <vt:lpstr>給湯16</vt:lpstr>
      <vt:lpstr>給湯17</vt:lpstr>
      <vt:lpstr>給湯18</vt:lpstr>
      <vt:lpstr>給湯19</vt:lpstr>
      <vt:lpstr>給湯20</vt:lpstr>
      <vt:lpstr>照明_その他の居室の照明設備</vt:lpstr>
      <vt:lpstr>照明_主たる居室の照明設備</vt:lpstr>
      <vt:lpstr>照明_照明器具の種類_その他の居室</vt:lpstr>
      <vt:lpstr>照明_照明器具の種類_主たる居室</vt:lpstr>
      <vt:lpstr>照明_照明器具の種類_非居室</vt:lpstr>
      <vt:lpstr>照明_多灯分散照明方式_主たる居室</vt:lpstr>
      <vt:lpstr>照明_調光が可能な制御_その他の居室</vt:lpstr>
      <vt:lpstr>照明_調光が可能な制御_主たる居室</vt:lpstr>
      <vt:lpstr>照明_非居室の照明設備</vt:lpstr>
      <vt:lpstr>照明01</vt:lpstr>
      <vt:lpstr>照明02</vt:lpstr>
      <vt:lpstr>照明03</vt:lpstr>
      <vt:lpstr>照明04</vt:lpstr>
      <vt:lpstr>照明05</vt:lpstr>
      <vt:lpstr>照明06</vt:lpstr>
      <vt:lpstr>照明07</vt:lpstr>
      <vt:lpstr>照明08</vt:lpstr>
      <vt:lpstr>照明09</vt:lpstr>
      <vt:lpstr>太陽光_パネルの設置方位角_パネル1</vt:lpstr>
      <vt:lpstr>太陽光_パネルの設置方位角_パネル2</vt:lpstr>
      <vt:lpstr>太陽光_パネルの設置方位角_パネル3</vt:lpstr>
      <vt:lpstr>太陽光_パネル設置傾斜角_パネル1</vt:lpstr>
      <vt:lpstr>太陽光_パネル設置傾斜角_パネル2</vt:lpstr>
      <vt:lpstr>太陽光_パネル設置傾斜角_パネル3</vt:lpstr>
      <vt:lpstr>太陽光_パワーコンディショナの定格負荷効率</vt:lpstr>
      <vt:lpstr>太陽光_パワーコンディショナの定格負荷効率の入力</vt:lpstr>
      <vt:lpstr>太陽光_太陽光発電設備</vt:lpstr>
      <vt:lpstr>太陽光_太陽電池アレイのシステム容量_パネル1</vt:lpstr>
      <vt:lpstr>太陽光_太陽電池アレイのシステム容量_パネル2</vt:lpstr>
      <vt:lpstr>太陽光_太陽電池アレイのシステム容量_パネル3</vt:lpstr>
      <vt:lpstr>太陽光_太陽電池アレイの種類_パネル1</vt:lpstr>
      <vt:lpstr>太陽光_太陽電池アレイの種類_パネル2</vt:lpstr>
      <vt:lpstr>太陽光_太陽電池アレイの種類_パネル3</vt:lpstr>
      <vt:lpstr>太陽光_太陽電池アレイ設置方式_パネル1</vt:lpstr>
      <vt:lpstr>太陽光_太陽電池アレイ設置方式_パネル2</vt:lpstr>
      <vt:lpstr>太陽光_太陽電池アレイ設置方式_パネル3</vt:lpstr>
      <vt:lpstr>太陽光_発電の評価</vt:lpstr>
      <vt:lpstr>太陽光_方位の異なるパネルの面数</vt:lpstr>
      <vt:lpstr>太陽光01</vt:lpstr>
      <vt:lpstr>太陽光02</vt:lpstr>
      <vt:lpstr>太陽光03</vt:lpstr>
      <vt:lpstr>太陽光04</vt:lpstr>
      <vt:lpstr>太陽光05</vt:lpstr>
      <vt:lpstr>太陽光06</vt:lpstr>
      <vt:lpstr>太陽光07</vt:lpstr>
      <vt:lpstr>太陽光08</vt:lpstr>
      <vt:lpstr>太陽光09</vt:lpstr>
      <vt:lpstr>太陽光10</vt:lpstr>
      <vt:lpstr>太陽光11</vt:lpstr>
      <vt:lpstr>太陽光12</vt:lpstr>
      <vt:lpstr>太陽光13</vt:lpstr>
      <vt:lpstr>太陽光14</vt:lpstr>
      <vt:lpstr>太陽光15</vt:lpstr>
      <vt:lpstr>太陽光16</vt:lpstr>
      <vt:lpstr>太陽光17</vt:lpstr>
      <vt:lpstr>太陽光18</vt:lpstr>
      <vt:lpstr>太陽光19</vt:lpstr>
      <vt:lpstr>太陽光20</vt:lpstr>
      <vt:lpstr>太陽熱_ソーラーシステムの指定</vt:lpstr>
      <vt:lpstr>太陽熱_液体集熱式太陽熱利用設備</vt:lpstr>
      <vt:lpstr>太陽熱_開放形太陽熱温水器の指定</vt:lpstr>
      <vt:lpstr>太陽熱_基準循環流量</vt:lpstr>
      <vt:lpstr>太陽熱_機外静圧をゼロとした時の空気搬送ファンの風量</vt:lpstr>
      <vt:lpstr>太陽熱_給湯接続方式の種類_ソーラーシステム</vt:lpstr>
      <vt:lpstr>太陽熱_給湯接続方式の種類_開放形太陽熱温水器</vt:lpstr>
      <vt:lpstr>太陽熱_給湯接続方式の種類_密閉形太陽熱温水器_直圧式</vt:lpstr>
      <vt:lpstr>太陽熱_給湯部のタンク容量</vt:lpstr>
      <vt:lpstr>太陽熱_空気集熱式太陽熱利用設備</vt:lpstr>
      <vt:lpstr>太陽熱_空気搬送ファンの自立運転用太陽光発電装置</vt:lpstr>
      <vt:lpstr>太陽熱_空気搬送ファンの種別</vt:lpstr>
      <vt:lpstr>太陽熱_集熱した熱の給湯への利用</vt:lpstr>
      <vt:lpstr>太陽熱_集熱器の集熱効率特性線図一次近似式の傾き_集熱器群その1</vt:lpstr>
      <vt:lpstr>太陽熱_集熱器の集熱効率特性線図一次近似式の傾き_集熱器群その2</vt:lpstr>
      <vt:lpstr>太陽熱_集熱器の集熱効率特性線図一次近似式の傾き_集熱器群その3</vt:lpstr>
      <vt:lpstr>太陽熱_集熱器の集熱効率特性線図一次近似式の切片_集熱器群その1</vt:lpstr>
      <vt:lpstr>太陽熱_集熱器の集熱効率特性線図一次近似式の切片_集熱器群その2</vt:lpstr>
      <vt:lpstr>太陽熱_集熱器の集熱効率特性線図一次近似式の切片_集熱器群その3</vt:lpstr>
      <vt:lpstr>太陽熱_集熱器の集熱性能試験時における単位面積当たりの空気の質量流量_集熱器群その1</vt:lpstr>
      <vt:lpstr>太陽熱_集熱器の集熱性能試験時における単位面積当たりの空気の質量流量_集熱器群その2</vt:lpstr>
      <vt:lpstr>太陽熱_集熱器の集熱性能試験時における単位面積当たりの空気の質量流量_集熱器群その3</vt:lpstr>
      <vt:lpstr>太陽熱_集熱器群の傾斜角_集熱器群その1</vt:lpstr>
      <vt:lpstr>太陽熱_集熱器群の傾斜角_集熱器群その2</vt:lpstr>
      <vt:lpstr>太陽熱_集熱器群の傾斜角_集熱器群その3</vt:lpstr>
      <vt:lpstr>太陽熱_集熱器群の仕様の入力_集熱器群その1</vt:lpstr>
      <vt:lpstr>太陽熱_集熱器群の仕様の入力_集熱器群その2</vt:lpstr>
      <vt:lpstr>太陽熱_集熱器群の仕様の入力_集熱器群その3</vt:lpstr>
      <vt:lpstr>太陽熱_集熱器群の数</vt:lpstr>
      <vt:lpstr>太陽熱_集熱器群の面積_集熱器群その1</vt:lpstr>
      <vt:lpstr>太陽熱_集熱器群の面積_集熱器群その2</vt:lpstr>
      <vt:lpstr>太陽熱_集熱器群の面積_集熱器群その3</vt:lpstr>
      <vt:lpstr>太陽熱_集熱後の空気を供給する空間</vt:lpstr>
      <vt:lpstr>太陽熱_集熱後の空気を供給する床下の面積の割合</vt:lpstr>
      <vt:lpstr>太陽熱_集熱配管の線熱通過率</vt:lpstr>
      <vt:lpstr>太陽熱_集熱部の設置傾斜角</vt:lpstr>
      <vt:lpstr>太陽熱_集熱部の設置方位角</vt:lpstr>
      <vt:lpstr>太陽熱_集熱部の方位角</vt:lpstr>
      <vt:lpstr>太陽熱_集熱部効率係数_b0</vt:lpstr>
      <vt:lpstr>太陽熱_集熱部総面積</vt:lpstr>
      <vt:lpstr>太陽熱_集熱部損失係数_b1</vt:lpstr>
      <vt:lpstr>太陽熱_循環ポンプの自立運転用太陽光発電装置</vt:lpstr>
      <vt:lpstr>太陽熱_循環ポンプ集熱判定時電力</vt:lpstr>
      <vt:lpstr>太陽熱_循環ポンプ連続運転時電力</vt:lpstr>
      <vt:lpstr>太陽熱_床下空間の断熱_太陽熱</vt:lpstr>
      <vt:lpstr>太陽熱_設備の種類</vt:lpstr>
      <vt:lpstr>太陽熱_太陽熱用水栓</vt:lpstr>
      <vt:lpstr>太陽熱_蓄熱タンク容量</vt:lpstr>
      <vt:lpstr>太陽熱_蓄熱槽熱損失係数</vt:lpstr>
      <vt:lpstr>太陽熱_貯湯量</vt:lpstr>
      <vt:lpstr>太陽熱_熱交換器伝熱係数</vt:lpstr>
      <vt:lpstr>太陽熱_熱媒の定圧比熱</vt:lpstr>
      <vt:lpstr>太陽熱_品番</vt:lpstr>
      <vt:lpstr>太陽熱_密閉形太陽熱温水器の指定</vt:lpstr>
      <vt:lpstr>太陽熱_有効出湯効率</vt:lpstr>
      <vt:lpstr>太陽熱01</vt:lpstr>
      <vt:lpstr>太陽熱02</vt:lpstr>
      <vt:lpstr>太陽熱03</vt:lpstr>
      <vt:lpstr>太陽熱04</vt:lpstr>
      <vt:lpstr>太陽熱05</vt:lpstr>
      <vt:lpstr>太陽熱06</vt:lpstr>
      <vt:lpstr>太陽熱07</vt:lpstr>
      <vt:lpstr>太陽熱08</vt:lpstr>
      <vt:lpstr>太陽熱09</vt:lpstr>
      <vt:lpstr>太陽熱10</vt:lpstr>
      <vt:lpstr>太陽熱11</vt:lpstr>
      <vt:lpstr>太陽熱12</vt:lpstr>
      <vt:lpstr>太陽熱13</vt:lpstr>
      <vt:lpstr>太陽熱14</vt:lpstr>
      <vt:lpstr>太陽熱15</vt:lpstr>
      <vt:lpstr>太陽熱16</vt:lpstr>
      <vt:lpstr>太陽熱17</vt:lpstr>
      <vt:lpstr>太陽熱18</vt:lpstr>
      <vt:lpstr>太陽熱19</vt:lpstr>
      <vt:lpstr>太陽熱20</vt:lpstr>
      <vt:lpstr>太陽熱21</vt:lpstr>
      <vt:lpstr>太陽熱22</vt:lpstr>
      <vt:lpstr>太陽熱23</vt:lpstr>
      <vt:lpstr>太陽熱24</vt:lpstr>
      <vt:lpstr>太陽熱25</vt:lpstr>
      <vt:lpstr>太陽熱26</vt:lpstr>
      <vt:lpstr>太陽熱27</vt:lpstr>
      <vt:lpstr>太陽熱28</vt:lpstr>
      <vt:lpstr>太陽熱29</vt:lpstr>
      <vt:lpstr>太陽熱30</vt:lpstr>
      <vt:lpstr>太陽熱31</vt:lpstr>
      <vt:lpstr>太陽熱32</vt:lpstr>
      <vt:lpstr>太陽熱33</vt:lpstr>
      <vt:lpstr>太陽熱34</vt:lpstr>
      <vt:lpstr>太陽熱35</vt:lpstr>
      <vt:lpstr>太陽熱36</vt:lpstr>
      <vt:lpstr>太陽熱37</vt:lpstr>
      <vt:lpstr>太陽熱38</vt:lpstr>
      <vt:lpstr>太陽熱39</vt:lpstr>
      <vt:lpstr>太陽熱40</vt:lpstr>
      <vt:lpstr>太陽熱41</vt:lpstr>
      <vt:lpstr>太陽熱42</vt:lpstr>
      <vt:lpstr>太陽熱43</vt:lpstr>
      <vt:lpstr>太陽熱44</vt:lpstr>
      <vt:lpstr>太陽熱45</vt:lpstr>
      <vt:lpstr>太陽熱46</vt:lpstr>
      <vt:lpstr>太陽熱47</vt:lpstr>
      <vt:lpstr>太陽熱48</vt:lpstr>
      <vt:lpstr>太陽熱49</vt:lpstr>
      <vt:lpstr>太陽熱50</vt:lpstr>
      <vt:lpstr>太陽熱51</vt:lpstr>
      <vt:lpstr>太陽熱52</vt:lpstr>
      <vt:lpstr>太陽熱53</vt:lpstr>
      <vt:lpstr>太陽熱54</vt:lpstr>
      <vt:lpstr>太陽熱55</vt:lpstr>
      <vt:lpstr>暖房_VAV方式</vt:lpstr>
      <vt:lpstr>暖房_エネルギー消費効率の区分_その他の居室</vt:lpstr>
      <vt:lpstr>暖房_エネルギー消費効率の区分_主たる居室</vt:lpstr>
      <vt:lpstr>暖房_エネルギー消費効率の入力</vt:lpstr>
      <vt:lpstr>暖房_エネルギー消費効率の入力_その他の居室</vt:lpstr>
      <vt:lpstr>暖房_エネルギー消費効率の入力_主たる居室</vt:lpstr>
      <vt:lpstr>暖房_その他の温水暖房機の名称</vt:lpstr>
      <vt:lpstr>暖房_その他の暖房設備機器の名称_その他の居室</vt:lpstr>
      <vt:lpstr>暖房_その他の暖房設備機器の名称_主たる居室</vt:lpstr>
      <vt:lpstr>暖房_ダクトが通過する空間</vt:lpstr>
      <vt:lpstr>暖房_温水暖房機の種類</vt:lpstr>
      <vt:lpstr>暖房_仮想床の床面積を除いた敷設率_主たる居室</vt:lpstr>
      <vt:lpstr>暖房_仮想床の床面積を除いた敷設率の入力_主たる居室</vt:lpstr>
      <vt:lpstr>暖房_機器の仕様の入力</vt:lpstr>
      <vt:lpstr>暖房_小能力時高効率型コンプレッサー_その他の居室</vt:lpstr>
      <vt:lpstr>暖房_小能力時高効率型コンプレッサー_主たる居室</vt:lpstr>
      <vt:lpstr>暖房_上面放熱率_床の断熱_その他の居室</vt:lpstr>
      <vt:lpstr>暖房_上面放熱率_床の断熱_主たる居室</vt:lpstr>
      <vt:lpstr>暖房_設計風量</vt:lpstr>
      <vt:lpstr>暖房_設計風量の入力</vt:lpstr>
      <vt:lpstr>暖房_全般換気機能</vt:lpstr>
      <vt:lpstr>暖房_断熱配管</vt:lpstr>
      <vt:lpstr>暖房_断熱配管_その他の居室</vt:lpstr>
      <vt:lpstr>暖房_断熱配管_主たる居室</vt:lpstr>
      <vt:lpstr>暖房_暖房設備機器の種類</vt:lpstr>
      <vt:lpstr>暖房_暖房設備機器または放熱器の種類_その他の居室</vt:lpstr>
      <vt:lpstr>暖房_暖房設備機器または放熱器の種類_主たる居室</vt:lpstr>
      <vt:lpstr>暖房_暖房方式</vt:lpstr>
      <vt:lpstr>暖房_中間暖房能力試験_室内側送風機の消費電力</vt:lpstr>
      <vt:lpstr>暖房_中間暖房能力試験_消費電力</vt:lpstr>
      <vt:lpstr>暖房_中間暖房能力試験_能力</vt:lpstr>
      <vt:lpstr>暖房_中間暖房能力試験_風量</vt:lpstr>
      <vt:lpstr>暖房_低出力モード_その他の居室</vt:lpstr>
      <vt:lpstr>暖房_低出力モード_主たる居室</vt:lpstr>
      <vt:lpstr>暖房_定格暖房能力試験_室内側送風機の消費電力</vt:lpstr>
      <vt:lpstr>暖房_定格暖房能力試験_消費電力</vt:lpstr>
      <vt:lpstr>暖房_定格暖房能力試験_能力</vt:lpstr>
      <vt:lpstr>暖房_定格暖房能力試験_風量</vt:lpstr>
      <vt:lpstr>暖房_定格能力におけるエネルギー消費効率</vt:lpstr>
      <vt:lpstr>暖房_定格能力におけるエネルギー消費効率_その他の居室</vt:lpstr>
      <vt:lpstr>暖房_定格能力におけるエネルギー消費効率_主たる居室</vt:lpstr>
      <vt:lpstr>暖房_定常時消費電力_その他の居室</vt:lpstr>
      <vt:lpstr>暖房_定常時消費電力_主たる居室</vt:lpstr>
      <vt:lpstr>暖房_点火時消費電力量_その他の居室</vt:lpstr>
      <vt:lpstr>暖房_点火時消費電力量_主たる居室</vt:lpstr>
      <vt:lpstr>暖房_熱交換器タイプ</vt:lpstr>
      <vt:lpstr>暖房_熱交換器タイプの入力</vt:lpstr>
      <vt:lpstr>暖房_熱効率_その他の居室</vt:lpstr>
      <vt:lpstr>暖房_熱効率_主たる居室</vt:lpstr>
      <vt:lpstr>暖房_熱出力_その他の居室</vt:lpstr>
      <vt:lpstr>暖房_熱出力_主たる居室</vt:lpstr>
      <vt:lpstr>暖房_配管が通過する空間</vt:lpstr>
      <vt:lpstr>暖房_敷設率_その他の居室</vt:lpstr>
      <vt:lpstr>暖房_敷設率_主たる居室</vt:lpstr>
      <vt:lpstr>暖房_敷設率の入力_その他の居室</vt:lpstr>
      <vt:lpstr>暖房_敷設率の入力_主たる居室</vt:lpstr>
      <vt:lpstr>暖房01</vt:lpstr>
      <vt:lpstr>暖房02</vt:lpstr>
      <vt:lpstr>暖房03</vt:lpstr>
      <vt:lpstr>暖房04</vt:lpstr>
      <vt:lpstr>暖房05</vt:lpstr>
      <vt:lpstr>暖房06</vt:lpstr>
      <vt:lpstr>暖房07</vt:lpstr>
      <vt:lpstr>暖房08</vt:lpstr>
      <vt:lpstr>暖房09</vt:lpstr>
      <vt:lpstr>暖房10</vt:lpstr>
      <vt:lpstr>暖房11</vt:lpstr>
      <vt:lpstr>暖房12</vt:lpstr>
      <vt:lpstr>暖房13</vt:lpstr>
      <vt:lpstr>暖房14</vt:lpstr>
      <vt:lpstr>暖房15</vt:lpstr>
      <vt:lpstr>暖房16</vt:lpstr>
      <vt:lpstr>暖房17</vt:lpstr>
      <vt:lpstr>暖房18</vt:lpstr>
      <vt:lpstr>暖房19</vt:lpstr>
      <vt:lpstr>暖房20</vt:lpstr>
      <vt:lpstr>暖房21</vt:lpstr>
      <vt:lpstr>暖房22</vt:lpstr>
      <vt:lpstr>暖房23</vt:lpstr>
      <vt:lpstr>暖房24</vt:lpstr>
      <vt:lpstr>暖房25</vt:lpstr>
      <vt:lpstr>暖房26</vt:lpstr>
      <vt:lpstr>暖房27</vt:lpstr>
      <vt:lpstr>暖房28</vt:lpstr>
      <vt:lpstr>暖房29</vt:lpstr>
      <vt:lpstr>暖房30</vt:lpstr>
      <vt:lpstr>暖房31</vt:lpstr>
      <vt:lpstr>暖房32</vt:lpstr>
      <vt:lpstr>暖房33</vt:lpstr>
      <vt:lpstr>暖房34</vt:lpstr>
      <vt:lpstr>暖房35</vt:lpstr>
      <vt:lpstr>暖房36</vt:lpstr>
      <vt:lpstr>暖房37</vt:lpstr>
      <vt:lpstr>暖房38</vt:lpstr>
      <vt:lpstr>暖房39</vt:lpstr>
      <vt:lpstr>暖房40</vt:lpstr>
      <vt:lpstr>暖房41</vt:lpstr>
      <vt:lpstr>暖房42</vt:lpstr>
      <vt:lpstr>暖房43</vt:lpstr>
      <vt:lpstr>暖房44</vt:lpstr>
      <vt:lpstr>暖房45</vt:lpstr>
      <vt:lpstr>暖房46</vt:lpstr>
      <vt:lpstr>暖房47</vt:lpstr>
      <vt:lpstr>暖房48</vt:lpstr>
      <vt:lpstr>暖房49</vt:lpstr>
      <vt:lpstr>暖房50</vt:lpstr>
      <vt:lpstr>暖房51</vt:lpstr>
      <vt:lpstr>暖房52</vt:lpstr>
      <vt:lpstr>暖房53</vt:lpstr>
      <vt:lpstr>暖房54</vt:lpstr>
      <vt:lpstr>暖房55</vt:lpstr>
      <vt:lpstr>暖房56</vt:lpstr>
      <vt:lpstr>熱交換_温度交換効率</vt:lpstr>
      <vt:lpstr>熱交換_温度交換効率の補正係数の入力</vt:lpstr>
      <vt:lpstr>熱交換_給気と排気の比率による温度交換効率の補正係数</vt:lpstr>
      <vt:lpstr>熱交換_熱交換型換気設備</vt:lpstr>
      <vt:lpstr>熱交換_排気過多時における住宅外皮経由の漏気による温度交換効率の補正係数</vt:lpstr>
      <vt:lpstr>熱交換01</vt:lpstr>
      <vt:lpstr>熱交換02</vt:lpstr>
      <vt:lpstr>熱交換03</vt:lpstr>
      <vt:lpstr>熱交換04</vt:lpstr>
      <vt:lpstr>熱交換05</vt:lpstr>
      <vt:lpstr>冷房_VAV方式</vt:lpstr>
      <vt:lpstr>冷房_エネルギー消費効率の入力_その他の居室</vt:lpstr>
      <vt:lpstr>冷房_エネルギー消費効率の入力_主たる居室</vt:lpstr>
      <vt:lpstr>冷房_その他の冷房設備機器の名称_その他の居室</vt:lpstr>
      <vt:lpstr>冷房_その他の冷房設備機器の名称_主たる居室</vt:lpstr>
      <vt:lpstr>冷房_ダクトが通過する空間</vt:lpstr>
      <vt:lpstr>冷房_機器の仕様の入力</vt:lpstr>
      <vt:lpstr>冷房_設計風量</vt:lpstr>
      <vt:lpstr>冷房_設計風量の入力</vt:lpstr>
      <vt:lpstr>冷房_全般換気機能</vt:lpstr>
      <vt:lpstr>冷房_冷房設備機器の種類</vt:lpstr>
      <vt:lpstr>冷房_冷房設備機器の種類_その他の居室</vt:lpstr>
      <vt:lpstr>冷房_冷房設備機器の種類_主たる居室</vt:lpstr>
      <vt:lpstr>冷房_冷房方式</vt:lpstr>
      <vt:lpstr>冷房01</vt:lpstr>
      <vt:lpstr>冷房02</vt:lpstr>
      <vt:lpstr>冷房03</vt:lpstr>
      <vt:lpstr>冷房04</vt:lpstr>
      <vt:lpstr>冷房05</vt:lpstr>
      <vt:lpstr>冷房06</vt:lpstr>
      <vt:lpstr>冷房07</vt:lpstr>
      <vt:lpstr>冷房08</vt:lpstr>
      <vt:lpstr>冷房09</vt:lpstr>
      <vt:lpstr>冷房10</vt:lpstr>
      <vt:lpstr>冷房11</vt:lpstr>
      <vt:lpstr>冷房12</vt:lpstr>
      <vt:lpstr>冷房13</vt:lpstr>
      <vt:lpstr>冷房14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YAMADA KOUICHI/山田 幸一(ＭＥＥ/和事/DS・マニュアル制作2G)</dc:creator>
  <cp:lastModifiedBy>YAMADA KOUICHI/山田 幸一(ＭＥＥ/和事/DS・マニュアル制作2G)</cp:lastModifiedBy>
  <dcterms:created xsi:type="dcterms:W3CDTF">2025-10-07T00:11:15Z</dcterms:created>
  <dcterms:modified xsi:type="dcterms:W3CDTF">2026-06-16T11:02:51Z</dcterms:modified>
</cp:coreProperties>
</file>
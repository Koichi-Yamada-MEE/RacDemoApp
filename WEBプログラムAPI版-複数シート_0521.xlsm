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42_★電住家\29_住宅省エネ効果試算ツール\"/>
    </mc:Choice>
  </mc:AlternateContent>
  <xr:revisionPtr revIDLastSave="0" documentId="13_ncr:1_{585A6990-D8C1-4755-9CC2-3B3B17603072}" xr6:coauthVersionLast="47" xr6:coauthVersionMax="47" xr10:uidLastSave="{00000000-0000-0000-0000-000000000000}"/>
  <bookViews>
    <workbookView xWindow="-105" yWindow="0" windowWidth="40395" windowHeight="15180" tabRatio="778" firstSheet="2" activeTab="16" xr2:uid="{3F146E3F-1315-43A3-818A-3223F7B2770A}"/>
  </bookViews>
  <sheets>
    <sheet name="01_基本情報" sheetId="4" r:id="rId1"/>
    <sheet name="02_外皮" sheetId="7" r:id="rId2"/>
    <sheet name="03_暖房" sheetId="8" r:id="rId3"/>
    <sheet name="04_冷房" sheetId="9" r:id="rId4"/>
    <sheet name="05_換気" sheetId="10" r:id="rId5"/>
    <sheet name="06_熱交換" sheetId="16" r:id="rId6"/>
    <sheet name="07_給湯" sheetId="17" r:id="rId7"/>
    <sheet name="08_照明" sheetId="18" r:id="rId8"/>
    <sheet name="09_太陽光" sheetId="19" r:id="rId9"/>
    <sheet name="10_太陽熱" sheetId="20" r:id="rId10"/>
    <sheet name="11_コージェネ" sheetId="21" r:id="rId11"/>
    <sheet name="option-elements" sheetId="6" r:id="rId12"/>
    <sheet name="Rules" sheetId="12" r:id="rId13"/>
    <sheet name="用語" sheetId="3" r:id="rId14"/>
    <sheet name="予備" sheetId="15" r:id="rId15"/>
    <sheet name="忘備録" sheetId="22" r:id="rId16"/>
    <sheet name="工程計画" sheetId="23" r:id="rId17"/>
  </sheets>
  <functionGroups builtInGroupCount="19"/>
  <definedNames>
    <definedName name="外皮_外気が経由する床下の面積の割合">'option-elements'!$D$53:$D$62</definedName>
    <definedName name="外皮_外皮性能の評価方法">'option-elements'!$D$32:$D$35</definedName>
    <definedName name="外皮_外皮平均熱貫流率">'option-elements'!$D$37:$D$38</definedName>
    <definedName name="外皮_外皮面積の合計">'option-elements'!$D$36</definedName>
    <definedName name="外皮_床下空間の断熱">'option-elements'!$D$63:$D$64</definedName>
    <definedName name="外皮_床下空間を経由して外気を導入する換気方式の利用">'option-elements'!$D$51:$D$52</definedName>
    <definedName name="外皮_暖房期の平均日射熱取得率">'option-elements'!$D$41:$D$42</definedName>
    <definedName name="外皮_蓄熱の利用">'option-elements'!$D$49:$D$50</definedName>
    <definedName name="外皮_通風の利用_その他の居室">'option-elements'!$D$46:$D$48</definedName>
    <definedName name="外皮_通風の利用_主たる居室">'option-elements'!$D$43:$D$45</definedName>
    <definedName name="外皮_冷房期の平均日射熱取得率">'option-elements'!$D$39:$D$40</definedName>
    <definedName name="外皮01">'02_外皮'!$C$2</definedName>
    <definedName name="外皮02">'02_外皮'!$C$3</definedName>
    <definedName name="外皮03">'02_外皮'!$C$4</definedName>
    <definedName name="外皮04">'02_外皮'!$C$5</definedName>
    <definedName name="外皮05">'02_外皮'!$C$6</definedName>
    <definedName name="外皮06">'02_外皮'!$C$7</definedName>
    <definedName name="外皮07">'02_外皮'!$C$8</definedName>
    <definedName name="外皮08">'02_外皮'!$C$9</definedName>
    <definedName name="外皮09">'02_外皮'!$C$10</definedName>
    <definedName name="外皮10">'02_外皮'!$C$11</definedName>
    <definedName name="外皮11">'02_外皮'!$C$12</definedName>
    <definedName name="基本_その他の居室の有無">'option-elements'!$D$10:$D$11</definedName>
    <definedName name="基本_居室の構成">'option-elements'!$D$8:$D$9</definedName>
    <definedName name="基本_住戸の評価方法">'option-elements'!$D$6:$D$7</definedName>
    <definedName name="基本_住宅タイプの名称">'option-elements'!$D$2</definedName>
    <definedName name="基本_住宅の建て方">'option-elements'!$D$4:$D$5</definedName>
    <definedName name="基本_床面積">'option-elements'!$D$14:$D$16</definedName>
    <definedName name="基本_地域の区分">'option-elements'!$D$17:$D$24</definedName>
    <definedName name="基本_入力責任者">'option-elements'!$D$3</definedName>
    <definedName name="基本_年間の日射地域区分">'option-elements'!$D$27:$D$31</definedName>
    <definedName name="基本_年間の日射地域区分の指定">'option-elements'!$D$25:$D$26</definedName>
    <definedName name="基本_非居室の有無">'option-elements'!$D$12:$D$13</definedName>
    <definedName name="基本01">'01_基本情報'!$C$2</definedName>
    <definedName name="基本02">'01_基本情報'!$C$3</definedName>
    <definedName name="基本03">'01_基本情報'!$C$4</definedName>
    <definedName name="基本04">'01_基本情報'!$C$5</definedName>
    <definedName name="基本05">'01_基本情報'!$C$6</definedName>
    <definedName name="基本06">'01_基本情報'!$C$7</definedName>
    <definedName name="基本07">'01_基本情報'!$C$8</definedName>
    <definedName name="基本08">'01_基本情報'!$C$9</definedName>
    <definedName name="基本09">'01_基本情報'!$C$10</definedName>
    <definedName name="基本10">'01_基本情報'!$C$11</definedName>
    <definedName name="基本11">'01_基本情報'!$C$12</definedName>
    <definedName name="基本12">'01_基本情報'!$C$13</definedName>
    <definedName name="基本13">'01_基本情報'!$C$14</definedName>
    <definedName name="暖房_VAV方式">'option-elements'!$D$203:$D$204</definedName>
    <definedName name="暖房_エネルギー消費効率の区分_その他の居室">'option-elements'!$D$137:$D$139</definedName>
    <definedName name="暖房_エネルギー消費効率の区分_主たる居室">'option-elements'!$D$83:$D$85</definedName>
    <definedName name="暖房_エネルギー消費効率の入力">'option-elements'!$D$176:$D$177</definedName>
    <definedName name="暖房_エネルギー消費効率の入力_その他の居室">'option-elements'!$D$134:$D$135</definedName>
    <definedName name="暖房_エネルギー消費効率の入力_主たる居室">'option-elements'!$D$80:$D$81</definedName>
    <definedName name="暖房_その他の温水暖房機の名称">'option-elements'!$D$195</definedName>
    <definedName name="暖房_その他の暖房設備機器の名称_その他の居室">'option-elements'!$D$163</definedName>
    <definedName name="暖房_その他の暖房設備機器の名称_主たる居室">'option-elements'!$D$121</definedName>
    <definedName name="暖房_ダクトが通過する空間">'option-elements'!$D$201:$D$202</definedName>
    <definedName name="暖房_温水暖房機の種類">'option-elements'!$D$164:$D$175</definedName>
    <definedName name="暖房_仮想床の床面積を除いた敷設率_主たる居室">'option-elements'!$D$93:$D$102</definedName>
    <definedName name="暖房_仮想床の床面積を除いた敷設率の入力_主たる居室">'option-elements'!$D$91:$D$92</definedName>
    <definedName name="暖房_機器の仕様の入力">'option-elements'!$D$207:$D$209</definedName>
    <definedName name="暖房_小能力時高効率型コンプレッサー_その他の居室">'option-elements'!$D$140:$D$141</definedName>
    <definedName name="暖房_小能力時高効率型コンプレッサー_主たる居室">'option-elements'!$D$86:$D$87</definedName>
    <definedName name="暖房_上面放熱率_床の断熱_その他の居室">'option-elements'!$D$145:$D$154</definedName>
    <definedName name="暖房_上面放熱率_床の断熱_主たる居室">'option-elements'!$D$103:$D$112</definedName>
    <definedName name="暖房_設計風量">'option-elements'!$D$220</definedName>
    <definedName name="暖房_設計風量の入力">'option-elements'!$D$218:$D$219</definedName>
    <definedName name="暖房_全般換気機能">'option-elements'!$D$205:$D$206</definedName>
    <definedName name="暖房_断熱配管">'option-elements'!$D$196:$D$197</definedName>
    <definedName name="暖房_断熱配管_その他の居室">'option-elements'!$D$157:$D$158</definedName>
    <definedName name="暖房_断熱配管_主たる居室">'option-elements'!$D$115:$D$116</definedName>
    <definedName name="暖房_暖房設備機器の種類">'option-elements'!$D$200</definedName>
    <definedName name="暖房_暖房設備機器または放熱器の種類_その他の居室">'option-elements'!$D$122:$D$133</definedName>
    <definedName name="暖房_暖房設備機器または放熱器の種類_主たる居室">'option-elements'!$D$68:$D$79</definedName>
    <definedName name="暖房_暖房方式">'option-elements'!$D$65:$D$67</definedName>
    <definedName name="暖房_中間暖房能力試験_室内側送風機の消費電力">'option-elements'!$D$217</definedName>
    <definedName name="暖房_中間暖房能力試験_消費電力">'option-elements'!$D$215</definedName>
    <definedName name="暖房_中間暖房能力試験_能力">'option-elements'!$D$214</definedName>
    <definedName name="暖房_中間暖房能力試験_風量">'option-elements'!$D$216</definedName>
    <definedName name="暖房_低出力モード_その他の居室">'option-elements'!$D$155:$D$156</definedName>
    <definedName name="暖房_低出力モード_主たる居室">'option-elements'!$D$113:$D$114</definedName>
    <definedName name="暖房_定格暖房能力試験_室内側送風機の消費電力">'option-elements'!$D$213</definedName>
    <definedName name="暖房_定格暖房能力試験_消費電力">'option-elements'!$D$211</definedName>
    <definedName name="暖房_定格暖房能力試験_能力">'option-elements'!$D$210</definedName>
    <definedName name="暖房_定格暖房能力試験_風量">'option-elements'!$D$212</definedName>
    <definedName name="暖房_定格能力におけるエネルギー消費効率">'option-elements'!$D$178:$D$187</definedName>
    <definedName name="暖房_定格能力におけるエネルギー消費効率_その他の居室">'option-elements'!$D$136</definedName>
    <definedName name="暖房_定格能力におけるエネルギー消費効率_主たる居室">'option-elements'!$D$82</definedName>
    <definedName name="暖房_定常時消費電力_その他の居室">'option-elements'!$D$162</definedName>
    <definedName name="暖房_定常時消費電力_主たる居室">'option-elements'!$D$120</definedName>
    <definedName name="暖房_点火時消費電力量_その他の居室">'option-elements'!$D$161</definedName>
    <definedName name="暖房_点火時消費電力量_主たる居室">'option-elements'!$D$119</definedName>
    <definedName name="暖房_熱交換器タイプ">'option-elements'!$D$190:$D$194</definedName>
    <definedName name="暖房_熱交換器タイプの入力">'option-elements'!$D$188:$D$189</definedName>
    <definedName name="暖房_熱効率_その他の居室">'option-elements'!$D$160</definedName>
    <definedName name="暖房_熱効率_主たる居室">'option-elements'!$D$118</definedName>
    <definedName name="暖房_熱出力_その他の居室">'option-elements'!$D$159</definedName>
    <definedName name="暖房_熱出力_主たる居室">'option-elements'!$D$117</definedName>
    <definedName name="暖房_配管が通過する空間">'option-elements'!$D$198:$D$199</definedName>
    <definedName name="暖房_敷設率_その他の居室">'option-elements'!$D$144</definedName>
    <definedName name="暖房_敷設率_主たる居室">'option-elements'!$D$90</definedName>
    <definedName name="暖房_敷設率の入力_その他の居室">'option-elements'!$D$142:$D$143</definedName>
    <definedName name="暖房_敷設率の入力_主たる居室">'option-elements'!$D$88:$D$89</definedName>
    <definedName name="暖房01">'03_暖房'!$C$2</definedName>
    <definedName name="暖房02">'03_暖房'!$C$3</definedName>
    <definedName name="暖房03">'03_暖房'!$C$4</definedName>
    <definedName name="暖房04">'03_暖房'!$C$5</definedName>
    <definedName name="暖房05">'03_暖房'!$C$6</definedName>
    <definedName name="暖房06">'03_暖房'!$C$7</definedName>
    <definedName name="暖房07">'03_暖房'!$C$8</definedName>
    <definedName name="暖房08">'03_暖房'!$C$9</definedName>
    <definedName name="暖房09">'03_暖房'!$C$10</definedName>
    <definedName name="暖房10">'03_暖房'!$C$11</definedName>
    <definedName name="暖房11">'03_暖房'!$C$12</definedName>
    <definedName name="暖房12">'03_暖房'!$C$13</definedName>
    <definedName name="暖房13">'03_暖房'!$C$14</definedName>
    <definedName name="暖房14">'03_暖房'!$C$15</definedName>
    <definedName name="暖房15">'03_暖房'!$C$16</definedName>
    <definedName name="暖房16">'03_暖房'!$C$17</definedName>
    <definedName name="暖房17">'03_暖房'!$C$18</definedName>
    <definedName name="暖房18">'03_暖房'!$C$19</definedName>
    <definedName name="暖房19">'03_暖房'!$C$20</definedName>
    <definedName name="暖房20">'03_暖房'!$C$21</definedName>
    <definedName name="暖房21">'03_暖房'!$C$22</definedName>
    <definedName name="暖房22">'03_暖房'!$C$23</definedName>
    <definedName name="暖房23">'03_暖房'!$C$24</definedName>
    <definedName name="暖房24">'03_暖房'!$C$25</definedName>
    <definedName name="暖房25">'03_暖房'!$C$26</definedName>
    <definedName name="暖房26">'03_暖房'!$C$27</definedName>
    <definedName name="暖房27">'03_暖房'!$C$28</definedName>
    <definedName name="暖房28">'03_暖房'!$C$29</definedName>
    <definedName name="暖房29">'03_暖房'!$C$30</definedName>
    <definedName name="暖房30">'03_暖房'!$C$31</definedName>
    <definedName name="暖房31">'03_暖房'!$C$32</definedName>
    <definedName name="暖房32">'03_暖房'!$C$33</definedName>
    <definedName name="暖房33">'03_暖房'!$C$34</definedName>
    <definedName name="暖房34">'03_暖房'!$C$35</definedName>
    <definedName name="暖房35">'03_暖房'!$C$36</definedName>
    <definedName name="暖房36">'03_暖房'!$C$37</definedName>
    <definedName name="暖房37">'03_暖房'!$C$38</definedName>
    <definedName name="暖房38">'03_暖房'!$C$39</definedName>
    <definedName name="暖房39">'03_暖房'!$C$40</definedName>
    <definedName name="暖房40">'03_暖房'!$C$41</definedName>
    <definedName name="暖房41">'03_暖房'!$C$42</definedName>
    <definedName name="暖房42">'03_暖房'!$C$43</definedName>
    <definedName name="暖房43">'03_暖房'!$C$44</definedName>
    <definedName name="暖房44">'03_暖房'!$C$45</definedName>
    <definedName name="暖房45">'03_暖房'!$C$46</definedName>
    <definedName name="暖房46">'03_暖房'!$C$47</definedName>
    <definedName name="暖房47">'03_暖房'!$C$48</definedName>
    <definedName name="暖房48">'03_暖房'!$C$49</definedName>
    <definedName name="暖房49">'03_暖房'!$C$50</definedName>
    <definedName name="暖房50">'03_暖房'!$C$51</definedName>
    <definedName name="暖房51">'03_暖房'!$C$52</definedName>
    <definedName name="暖房52">'03_暖房'!$C$53</definedName>
    <definedName name="暖房53">'03_暖房'!$C$54</definedName>
    <definedName name="暖房54">'03_暖房'!$C$55</definedName>
    <definedName name="暖房55">'03_暖房'!$C$56</definedName>
    <definedName name="暖房56">'03_暖房'!$C$57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12" l="1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33" i="12"/>
  <c r="C34" i="12"/>
  <c r="C35" i="12"/>
  <c r="C36" i="12"/>
  <c r="C37" i="12"/>
  <c r="C38" i="12"/>
  <c r="C39" i="12"/>
  <c r="C40" i="12"/>
  <c r="C41" i="12"/>
  <c r="C42" i="12"/>
  <c r="C43" i="12"/>
  <c r="C32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A217" i="12"/>
  <c r="A218" i="12"/>
  <c r="A219" i="12"/>
  <c r="A220" i="12"/>
  <c r="D217" i="12"/>
  <c r="D218" i="12"/>
  <c r="D219" i="12"/>
  <c r="D220" i="12"/>
  <c r="A210" i="12"/>
  <c r="A211" i="12"/>
  <c r="A212" i="12"/>
  <c r="A213" i="12"/>
  <c r="A214" i="12"/>
  <c r="A215" i="12"/>
  <c r="A216" i="12"/>
  <c r="D210" i="12"/>
  <c r="D211" i="12"/>
  <c r="D212" i="12"/>
  <c r="D213" i="12"/>
  <c r="D214" i="12"/>
  <c r="D215" i="12"/>
  <c r="D216" i="12"/>
  <c r="A202" i="12"/>
  <c r="A203" i="12"/>
  <c r="A204" i="12"/>
  <c r="A205" i="12"/>
  <c r="A206" i="12"/>
  <c r="A207" i="12"/>
  <c r="A208" i="12"/>
  <c r="A209" i="12"/>
  <c r="D202" i="12"/>
  <c r="D203" i="12"/>
  <c r="D204" i="12"/>
  <c r="D205" i="12"/>
  <c r="D206" i="12"/>
  <c r="D207" i="12"/>
  <c r="D208" i="12"/>
  <c r="D209" i="12"/>
  <c r="A193" i="12"/>
  <c r="A194" i="12"/>
  <c r="A195" i="12"/>
  <c r="A196" i="12"/>
  <c r="A197" i="12"/>
  <c r="A198" i="12"/>
  <c r="A199" i="12"/>
  <c r="A200" i="12"/>
  <c r="A201" i="12"/>
  <c r="D193" i="12"/>
  <c r="D194" i="12"/>
  <c r="D195" i="12"/>
  <c r="D196" i="12"/>
  <c r="D197" i="12"/>
  <c r="D198" i="12"/>
  <c r="D199" i="12"/>
  <c r="D200" i="12"/>
  <c r="D201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H115" i="12"/>
  <c r="H116" i="12"/>
  <c r="H117" i="12"/>
  <c r="H118" i="12"/>
  <c r="H119" i="12"/>
  <c r="H120" i="12"/>
  <c r="H105" i="12"/>
  <c r="H106" i="12"/>
  <c r="H107" i="12"/>
  <c r="H108" i="12"/>
  <c r="H109" i="12"/>
  <c r="H110" i="12"/>
  <c r="H111" i="12"/>
  <c r="H112" i="12"/>
  <c r="H113" i="12"/>
  <c r="H114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65" i="12"/>
  <c r="A120" i="12"/>
  <c r="A117" i="12"/>
  <c r="A118" i="12"/>
  <c r="A119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H64" i="12" l="1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A3" i="12" l="1"/>
  <c r="G3" i="12"/>
  <c r="A4" i="12"/>
  <c r="G4" i="12"/>
  <c r="A5" i="12"/>
  <c r="G5" i="12"/>
  <c r="A6" i="12"/>
  <c r="G6" i="12"/>
  <c r="A7" i="12"/>
  <c r="G7" i="12"/>
  <c r="A8" i="12"/>
  <c r="G8" i="12"/>
  <c r="A9" i="12"/>
  <c r="G9" i="12"/>
  <c r="A10" i="12"/>
  <c r="G10" i="12"/>
  <c r="A11" i="12"/>
  <c r="G11" i="12"/>
  <c r="A12" i="12"/>
  <c r="G12" i="12"/>
  <c r="A13" i="12"/>
  <c r="G13" i="12"/>
  <c r="A14" i="12"/>
  <c r="G14" i="12"/>
  <c r="A15" i="12"/>
  <c r="G15" i="12"/>
  <c r="A16" i="12"/>
  <c r="G16" i="12"/>
  <c r="A17" i="12"/>
  <c r="G17" i="12"/>
  <c r="A18" i="12"/>
  <c r="G18" i="12"/>
  <c r="A19" i="12"/>
  <c r="G19" i="12"/>
  <c r="A20" i="12"/>
  <c r="G20" i="12"/>
  <c r="A21" i="12"/>
  <c r="G21" i="12"/>
  <c r="A22" i="12"/>
  <c r="G22" i="12"/>
  <c r="A23" i="12"/>
  <c r="G23" i="12"/>
  <c r="A24" i="12"/>
  <c r="G24" i="12"/>
  <c r="A25" i="12"/>
  <c r="G25" i="12"/>
  <c r="A26" i="12"/>
  <c r="G26" i="12"/>
  <c r="A27" i="12"/>
  <c r="G27" i="12"/>
  <c r="A28" i="12"/>
  <c r="G28" i="12"/>
  <c r="A29" i="12"/>
  <c r="G29" i="12"/>
  <c r="A30" i="12"/>
  <c r="G30" i="12"/>
  <c r="A31" i="12"/>
  <c r="G31" i="12"/>
  <c r="A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4551C9-B773-4B30-94DE-EBBF696A7501}" name="resume" type="4" refreshedVersion="0" background="1">
    <webPr xml="1" sourceData="1" url="C:\Users\UQ94339\Downloads\resume.xml" htmlTables="1" htmlFormat="all"/>
  </connection>
</connections>
</file>

<file path=xl/sharedStrings.xml><?xml version="1.0" encoding="utf-8"?>
<sst xmlns="http://schemas.openxmlformats.org/spreadsheetml/2006/main" count="1271" uniqueCount="467">
  <si>
    <t>住宅タイプの名称</t>
  </si>
  <si>
    <t>入力責任者</t>
  </si>
  <si>
    <t>住戸の評価方法</t>
  </si>
  <si>
    <t>○○○○邸</t>
  </si>
  <si>
    <t>住戸全体を対象に評価する</t>
  </si>
  <si>
    <t>増改築部分を対象に評価する</t>
  </si>
  <si>
    <t>戸建住宅</t>
    <phoneticPr fontId="1"/>
  </si>
  <si>
    <t>ルート要素</t>
    <rPh sb="3" eb="5">
      <t>ヨウソ</t>
    </rPh>
    <phoneticPr fontId="1"/>
  </si>
  <si>
    <t>House要素</t>
    <rPh sb="5" eb="7">
      <t>ヨウソ</t>
    </rPh>
    <phoneticPr fontId="1"/>
  </si>
  <si>
    <t>1つのXML文書には1つだけ存在</t>
    <rPh sb="14" eb="16">
      <t>ソンザイ</t>
    </rPh>
    <phoneticPr fontId="1"/>
  </si>
  <si>
    <t>基本情報</t>
  </si>
  <si>
    <t>外皮</t>
  </si>
  <si>
    <t>暖房</t>
  </si>
  <si>
    <t>冷房</t>
  </si>
  <si>
    <t>換気</t>
  </si>
  <si>
    <t>熱交換</t>
  </si>
  <si>
    <t>給湯</t>
  </si>
  <si>
    <t>照明</t>
  </si>
  <si>
    <t>太陽光</t>
  </si>
  <si>
    <t>太陽熱</t>
  </si>
  <si>
    <t>コージェネ</t>
  </si>
  <si>
    <r>
      <t>環境を表す</t>
    </r>
    <r>
      <rPr>
        <sz val="11"/>
        <color rgb="FFFF0000"/>
        <rFont val="Yu Gothic UI"/>
        <family val="3"/>
        <charset val="128"/>
      </rPr>
      <t>Environment</t>
    </r>
    <r>
      <rPr>
        <sz val="11"/>
        <color theme="1"/>
        <rFont val="Yu Gothic UI"/>
        <family val="3"/>
        <charset val="128"/>
      </rPr>
      <t>要素</t>
    </r>
    <phoneticPr fontId="1"/>
  </si>
  <si>
    <r>
      <t>暖冷房</t>
    </r>
    <r>
      <rPr>
        <sz val="11"/>
        <color rgb="FFFF0000"/>
        <rFont val="Yu Gothic UI"/>
        <family val="3"/>
        <charset val="128"/>
      </rPr>
      <t>区画</t>
    </r>
    <r>
      <rPr>
        <sz val="11"/>
        <color theme="1"/>
        <rFont val="Yu Gothic UI"/>
        <family val="3"/>
        <charset val="128"/>
      </rPr>
      <t>を表す</t>
    </r>
    <r>
      <rPr>
        <sz val="11"/>
        <color rgb="FFFF0000"/>
        <rFont val="Yu Gothic UI"/>
        <family val="3"/>
        <charset val="128"/>
      </rPr>
      <t>Zones/Zone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</si>
  <si>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外皮を表す</t>
    </r>
    <r>
      <rPr>
        <sz val="11"/>
        <color rgb="FFFF0000"/>
        <rFont val="Yu Gothic UI"/>
        <family val="3"/>
        <charset val="128"/>
      </rPr>
      <t>Envelope</t>
    </r>
    <r>
      <rPr>
        <sz val="11"/>
        <color theme="1"/>
        <rFont val="Yu Gothic UI"/>
        <family val="3"/>
        <charset val="128"/>
      </rPr>
      <t>要素、暖房設備を表す</t>
    </r>
    <r>
      <rPr>
        <sz val="11"/>
        <color rgb="FFFF0000"/>
        <rFont val="Yu Gothic UI"/>
        <family val="3"/>
        <charset val="128"/>
      </rPr>
      <t>Heating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</si>
  <si>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冷房設備を表す</t>
    </r>
    <r>
      <rPr>
        <sz val="11"/>
        <color rgb="FFFF0000"/>
        <rFont val="Yu Gothic UI"/>
        <family val="3"/>
        <charset val="128"/>
      </rPr>
      <t>Cooling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</si>
  <si>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換気設備を表す</t>
    </r>
    <r>
      <rPr>
        <sz val="11"/>
        <color rgb="FFFF0000"/>
        <rFont val="Yu Gothic UI"/>
        <family val="3"/>
        <charset val="128"/>
      </rPr>
      <t>Ventilation</t>
    </r>
    <r>
      <rPr>
        <sz val="11"/>
        <color theme="1"/>
        <rFont val="Yu Gothic UI"/>
        <family val="3"/>
        <charset val="128"/>
      </rPr>
      <t>要素</t>
    </r>
    <phoneticPr fontId="1"/>
  </si>
  <si>
    <r>
      <t>給湯設備を表す</t>
    </r>
    <r>
      <rPr>
        <sz val="11"/>
        <color rgb="FFFF0000"/>
        <rFont val="Yu Gothic UI"/>
        <family val="3"/>
        <charset val="128"/>
      </rPr>
      <t>Hotwater</t>
    </r>
    <r>
      <rPr>
        <sz val="11"/>
        <color theme="1"/>
        <rFont val="Yu Gothic UI"/>
        <family val="3"/>
        <charset val="128"/>
      </rPr>
      <t>要素</t>
    </r>
    <phoneticPr fontId="1"/>
  </si>
  <si>
    <r>
      <t>照明設備を表す</t>
    </r>
    <r>
      <rPr>
        <sz val="11"/>
        <color rgb="FFFF0000"/>
        <rFont val="Yu Gothic UI"/>
        <family val="3"/>
        <charset val="128"/>
      </rPr>
      <t>Lighting/LightingZone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</si>
  <si>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太陽光発電設備を表す</t>
    </r>
    <r>
      <rPr>
        <sz val="11"/>
        <color rgb="FFFF0000"/>
        <rFont val="Yu Gothic UI"/>
        <family val="3"/>
        <charset val="128"/>
      </rPr>
      <t>Photovoltaic</t>
    </r>
    <r>
      <rPr>
        <sz val="11"/>
        <color theme="1"/>
        <rFont val="Yu Gothic UI"/>
        <family val="3"/>
        <charset val="128"/>
      </rPr>
      <t>要素</t>
    </r>
    <phoneticPr fontId="1"/>
  </si>
  <si>
    <r>
      <t>コージェネレーション設備を表す</t>
    </r>
    <r>
      <rPr>
        <sz val="11"/>
        <color rgb="FFFF0000"/>
        <rFont val="Yu Gothic UI"/>
        <family val="3"/>
        <charset val="128"/>
      </rPr>
      <t>CogenerationUnit</t>
    </r>
    <r>
      <rPr>
        <sz val="11"/>
        <color theme="1"/>
        <rFont val="Yu Gothic UI"/>
        <family val="3"/>
        <charset val="128"/>
      </rPr>
      <t>要素</t>
    </r>
    <phoneticPr fontId="1"/>
  </si>
  <si>
    <r>
      <t>空気集熱式太陽熱利用設備を表す</t>
    </r>
    <r>
      <rPr>
        <sz val="11"/>
        <color rgb="FFFF0000"/>
        <rFont val="Yu Gothic UI"/>
        <family val="3"/>
        <charset val="128"/>
      </rPr>
      <t>AirBasedSolarSystem</t>
    </r>
    <r>
      <rPr>
        <sz val="11"/>
        <color theme="1"/>
        <rFont val="Yu Gothic UI"/>
        <family val="3"/>
        <charset val="128"/>
      </rPr>
      <t>要素</t>
    </r>
    <phoneticPr fontId="1"/>
  </si>
  <si>
    <t>居室の構成</t>
  </si>
  <si>
    <t>地域の区分</t>
  </si>
  <si>
    <t>年間の日射地域区分の指定</t>
  </si>
  <si>
    <t>年間の日射地域区分</t>
  </si>
  <si>
    <t>三菱太郎</t>
    <rPh sb="0" eb="2">
      <t>ミツビシ</t>
    </rPh>
    <rPh sb="2" eb="4">
      <t>タロウ</t>
    </rPh>
    <phoneticPr fontId="1"/>
  </si>
  <si>
    <t>主たる居室とその他の居室、非居室で構成される</t>
  </si>
  <si>
    <t>上記以外の構成</t>
  </si>
  <si>
    <t>主たる居室</t>
  </si>
  <si>
    <t>その他の居室</t>
  </si>
  <si>
    <t>合計</t>
  </si>
  <si>
    <t>1地域</t>
  </si>
  <si>
    <t>2地域</t>
  </si>
  <si>
    <t>3地域</t>
  </si>
  <si>
    <t>4地域</t>
  </si>
  <si>
    <t>5地域</t>
  </si>
  <si>
    <t>6地域</t>
  </si>
  <si>
    <t>7地域</t>
  </si>
  <si>
    <t>8地域</t>
  </si>
  <si>
    <t>指定しない</t>
  </si>
  <si>
    <t>A1区分（年間の日射量が特に少ない地域）</t>
  </si>
  <si>
    <t>A2区分（年間の日射量が少ない地域）</t>
  </si>
  <si>
    <t>A3区分（年間の日射量が中程度の地域）</t>
  </si>
  <si>
    <t>A4区分（年間の日射量が多い地域）</t>
  </si>
  <si>
    <t>A5区分（年間の日射量が特に多い地域）</t>
  </si>
  <si>
    <t>指定する</t>
    <phoneticPr fontId="1"/>
  </si>
  <si>
    <t>住宅の建て方</t>
    <phoneticPr fontId="1"/>
  </si>
  <si>
    <t>m2 (小数点以下2桁)</t>
  </si>
  <si>
    <t>外皮</t>
    <rPh sb="0" eb="2">
      <t>ガイヒ</t>
    </rPh>
    <phoneticPr fontId="1"/>
  </si>
  <si>
    <t>外皮性能の評価方法</t>
  </si>
  <si>
    <t>外皮平均熱貫流率（UA）</t>
  </si>
  <si>
    <t>冷房期の平均日射熱取得率（ηAC）</t>
  </si>
  <si>
    <t>暖房期の平均日射熱取得率（ηAH）</t>
  </si>
  <si>
    <t>蓄熱の利用</t>
  </si>
  <si>
    <t>床下空間を経由して外気を導入する換気方式の利用</t>
  </si>
  <si>
    <t>当該住戸の外皮面積を用いて外皮性能を評価する</t>
  </si>
  <si>
    <t>仕様基準により外皮性能を評価する</t>
  </si>
  <si>
    <t>誘導仕様基準により外皮性能を評価する（住戸全体を対象に評価）</t>
  </si>
  <si>
    <t>誘導仕様基準により外皮性能を評価する（増改築部分を対象に評価）</t>
  </si>
  <si>
    <t>外皮面積の合計</t>
  </si>
  <si>
    <t>W/m2K (小数点以下2桁)</t>
  </si>
  <si>
    <t>- (小数点以下1桁)</t>
  </si>
  <si>
    <t>評価しない、または利用しない</t>
  </si>
  <si>
    <t>評価しない、または利用しない</t>
    <phoneticPr fontId="1"/>
  </si>
  <si>
    <t>利用する</t>
    <phoneticPr fontId="1"/>
  </si>
  <si>
    <t>通年利用する</t>
  </si>
  <si>
    <t>通年利用する</t>
    <phoneticPr fontId="1"/>
  </si>
  <si>
    <t>外気が経由する床下の面積の割合</t>
    <phoneticPr fontId="1"/>
  </si>
  <si>
    <t>% (整数)</t>
  </si>
  <si>
    <t>床下空間の断熱</t>
  </si>
  <si>
    <t>断熱区画外</t>
  </si>
  <si>
    <t>断熱区画内</t>
  </si>
  <si>
    <t>UAValue属性</t>
  </si>
  <si>
    <t>WinterHAValue属性</t>
  </si>
  <si>
    <t>SummerHAValue属性</t>
  </si>
  <si>
    <t>UnderFloorVentilation属性</t>
  </si>
  <si>
    <t>UnderFloorVentilationAreaRate属性</t>
  </si>
  <si>
    <t>UnderFloorInsulation属性</t>
  </si>
  <si>
    <t>HeatStorage属性</t>
    <phoneticPr fontId="1"/>
  </si>
  <si>
    <t>NaturalWind属性</t>
  </si>
  <si>
    <t>TotalEnvelopeArea属性</t>
    <phoneticPr fontId="1"/>
  </si>
  <si>
    <t>暖房方式</t>
  </si>
  <si>
    <t>居室のみを暖房する</t>
  </si>
  <si>
    <t>住戸全体を暖房する</t>
  </si>
  <si>
    <t>設置しない</t>
  </si>
  <si>
    <t>ルームエアコンディショナー</t>
  </si>
  <si>
    <t>基準値の算定において想定される機器（増改築部分を対象に評価する場合の基準設定仕様）</t>
  </si>
  <si>
    <t>入力しない（規定値を用いる）</t>
  </si>
  <si>
    <t>入力する</t>
  </si>
  <si>
    <t>評価しない</t>
  </si>
  <si>
    <t>温水暖房機の種類</t>
  </si>
  <si>
    <t>ガス従来型温水暖房機</t>
  </si>
  <si>
    <t>ガス潜熱回収型温水暖房機</t>
  </si>
  <si>
    <t>石油従来型温水暖房機</t>
  </si>
  <si>
    <t>石油潜熱回収型温水暖房機</t>
  </si>
  <si>
    <t>電気ヒートポンプ温水暖房機（フロン系冷媒）</t>
  </si>
  <si>
    <t>電気ヒーター温水暖房機</t>
  </si>
  <si>
    <t>地中熱ヒートポンプ温水暖房機</t>
  </si>
  <si>
    <t>給湯・温水暖房一体型</t>
  </si>
  <si>
    <t>コージェネレーション</t>
  </si>
  <si>
    <t>その他の温水暖房機</t>
  </si>
  <si>
    <t>温水暖房機を設置しない</t>
  </si>
  <si>
    <t>エネルギー消費効率の入力</t>
  </si>
  <si>
    <t>断熱配管</t>
  </si>
  <si>
    <t>評価しない、または採用しない</t>
  </si>
  <si>
    <t>採用する</t>
  </si>
  <si>
    <t>配管が通過する空間</t>
  </si>
  <si>
    <t>評価しない、または全てもしくは一部が断熱区画外である</t>
  </si>
  <si>
    <t>全て断熱区画内である</t>
  </si>
  <si>
    <t>暖房設備機器の種類</t>
  </si>
  <si>
    <t>ダクト式セントラル空調機（ヒートポンプ式熱源）</t>
  </si>
  <si>
    <t>ダクトが通過する空間</t>
  </si>
  <si>
    <t>VAV方式</t>
  </si>
  <si>
    <t>採用しない</t>
  </si>
  <si>
    <t>全般換気機能</t>
  </si>
  <si>
    <t>全般換気機能あり</t>
  </si>
  <si>
    <t>全般換気機能なし</t>
  </si>
  <si>
    <t>機器の仕様の入力</t>
  </si>
  <si>
    <t>定格能力試験の値を入力する</t>
  </si>
  <si>
    <t>定格能力試験と中間能力試験の値を入力する</t>
  </si>
  <si>
    <t>設計風量の入力</t>
  </si>
  <si>
    <t>kW (小数点以下1桁)</t>
  </si>
  <si>
    <t>% (小数点以下1桁)</t>
  </si>
  <si>
    <t>Wh (整数)</t>
  </si>
  <si>
    <t>W (整数)</t>
  </si>
  <si>
    <t>テキスト入力</t>
    <rPh sb="4" eb="6">
      <t>ニュウリョク</t>
    </rPh>
    <phoneticPr fontId="1"/>
  </si>
  <si>
    <t>共同住宅</t>
    <phoneticPr fontId="1"/>
  </si>
  <si>
    <t>値</t>
    <rPh sb="0" eb="1">
      <t>アタイ</t>
    </rPh>
    <phoneticPr fontId="1"/>
  </si>
  <si>
    <t>床面積-主たる居室</t>
    <phoneticPr fontId="1"/>
  </si>
  <si>
    <t>床面積-その他の居室</t>
    <phoneticPr fontId="1"/>
  </si>
  <si>
    <t>床面積-合計</t>
    <phoneticPr fontId="1"/>
  </si>
  <si>
    <t>単位など</t>
    <rPh sb="0" eb="2">
      <t>タンイ</t>
    </rPh>
    <phoneticPr fontId="1"/>
  </si>
  <si>
    <t>基本-01</t>
    <rPh sb="0" eb="2">
      <t>キホン</t>
    </rPh>
    <phoneticPr fontId="1"/>
  </si>
  <si>
    <t>基本03_住宅の建て方</t>
  </si>
  <si>
    <t>基本03_住宅の建て方</t>
    <phoneticPr fontId="1"/>
  </si>
  <si>
    <t>基本01_住宅タイプの名称</t>
    <phoneticPr fontId="1"/>
  </si>
  <si>
    <t>基本02_入力責任者</t>
    <phoneticPr fontId="1"/>
  </si>
  <si>
    <t>基本04_住戸の評価方法</t>
  </si>
  <si>
    <t>基本04_住戸の評価方法</t>
    <phoneticPr fontId="1"/>
  </si>
  <si>
    <t>基本05_居室の構成</t>
    <phoneticPr fontId="1"/>
  </si>
  <si>
    <t>基本06_床面積</t>
    <phoneticPr fontId="1"/>
  </si>
  <si>
    <t>基本08_年間の日射地域区分の指定</t>
    <phoneticPr fontId="1"/>
  </si>
  <si>
    <t>基本09_年間の日射地域区分</t>
    <phoneticPr fontId="1"/>
  </si>
  <si>
    <t>基本07_地域の区分</t>
    <phoneticPr fontId="1"/>
  </si>
  <si>
    <t>設定項目</t>
    <rPh sb="0" eb="2">
      <t>セッテイ</t>
    </rPh>
    <rPh sb="2" eb="4">
      <t>コウモク</t>
    </rPh>
    <phoneticPr fontId="1"/>
  </si>
  <si>
    <t>TriggerValue</t>
    <phoneticPr fontId="1"/>
  </si>
  <si>
    <t>戸建住宅</t>
  </si>
  <si>
    <t>No.</t>
    <phoneticPr fontId="1"/>
  </si>
  <si>
    <t>1.基本情報</t>
    <rPh sb="2" eb="4">
      <t>キホン</t>
    </rPh>
    <rPh sb="4" eb="6">
      <t>ジョウホウ</t>
    </rPh>
    <phoneticPr fontId="1"/>
  </si>
  <si>
    <t>TriggerCellName</t>
    <phoneticPr fontId="1"/>
  </si>
  <si>
    <t>必要な機能</t>
    <rPh sb="0" eb="2">
      <t>ヒツヨウ</t>
    </rPh>
    <rPh sb="3" eb="5">
      <t>キノウ</t>
    </rPh>
    <phoneticPr fontId="1"/>
  </si>
  <si>
    <t>プルダウンから選択→色変更</t>
    <rPh sb="7" eb="9">
      <t>センタク</t>
    </rPh>
    <rPh sb="10" eb="13">
      <t>イロヘンコウ</t>
    </rPh>
    <phoneticPr fontId="1"/>
  </si>
  <si>
    <t>現在のシート名を取得</t>
    <rPh sb="0" eb="2">
      <t>ゲンザイ</t>
    </rPh>
    <rPh sb="6" eb="7">
      <t>メイ</t>
    </rPh>
    <rPh sb="8" eb="10">
      <t>シュトク</t>
    </rPh>
    <phoneticPr fontId="1"/>
  </si>
  <si>
    <t>選択されたリストを取得</t>
    <rPh sb="0" eb="2">
      <t>センタク</t>
    </rPh>
    <rPh sb="9" eb="11">
      <t>シュトク</t>
    </rPh>
    <phoneticPr fontId="1"/>
  </si>
  <si>
    <t>ターゲットセルを取得</t>
    <rPh sb="8" eb="10">
      <t>シュトク</t>
    </rPh>
    <phoneticPr fontId="1"/>
  </si>
  <si>
    <t>Test = ActiveSheet.Name</t>
    <phoneticPr fontId="1"/>
  </si>
  <si>
    <t>処理に必要なセル</t>
    <rPh sb="0" eb="2">
      <t>ショリ</t>
    </rPh>
    <rPh sb="3" eb="5">
      <t>ヒツヨウ</t>
    </rPh>
    <phoneticPr fontId="1"/>
  </si>
  <si>
    <t>入力書式</t>
    <rPh sb="0" eb="2">
      <t>ニュウリョク</t>
    </rPh>
    <rPh sb="2" eb="4">
      <t>ショシキ</t>
    </rPh>
    <phoneticPr fontId="1"/>
  </si>
  <si>
    <t>条件付き書式（VBA）</t>
    <rPh sb="0" eb="2">
      <t>ジョウケン</t>
    </rPh>
    <rPh sb="2" eb="3">
      <t>ツ</t>
    </rPh>
    <rPh sb="4" eb="6">
      <t>ショシキ</t>
    </rPh>
    <phoneticPr fontId="1"/>
  </si>
  <si>
    <t>共同住宅</t>
  </si>
  <si>
    <t>基本</t>
  </si>
  <si>
    <t>基本</t>
    <phoneticPr fontId="1"/>
  </si>
  <si>
    <t>三菱太郎</t>
  </si>
  <si>
    <t>指定する</t>
  </si>
  <si>
    <t xml:space="preserve">memo </t>
    <phoneticPr fontId="1"/>
  </si>
  <si>
    <t>基本08_床面積</t>
    <phoneticPr fontId="1"/>
  </si>
  <si>
    <t>その他の居室の有無</t>
    <phoneticPr fontId="1"/>
  </si>
  <si>
    <t>非居室の有無</t>
    <phoneticPr fontId="1"/>
  </si>
  <si>
    <t>基本06_その他の居室の有無</t>
    <phoneticPr fontId="1"/>
  </si>
  <si>
    <t>基本07_非居室の有無</t>
    <phoneticPr fontId="1"/>
  </si>
  <si>
    <t>基本09_床面積</t>
    <phoneticPr fontId="1"/>
  </si>
  <si>
    <t>基本10_床面積</t>
    <phoneticPr fontId="1"/>
  </si>
  <si>
    <t>基本11_地域の区分</t>
    <phoneticPr fontId="1"/>
  </si>
  <si>
    <t>基本12_年間の日射地域区分の指定</t>
    <phoneticPr fontId="1"/>
  </si>
  <si>
    <t>基本13_年間の日射地域区分</t>
    <phoneticPr fontId="1"/>
  </si>
  <si>
    <t>指定しない</t>
    <phoneticPr fontId="1"/>
  </si>
  <si>
    <t>基本12</t>
    <phoneticPr fontId="1"/>
  </si>
  <si>
    <t>基本12, 基本13</t>
  </si>
  <si>
    <t>基本12, 基本13</t>
    <phoneticPr fontId="1"/>
  </si>
  <si>
    <t>有（その他の居室）</t>
    <rPh sb="0" eb="1">
      <t>アリ</t>
    </rPh>
    <phoneticPr fontId="1"/>
  </si>
  <si>
    <t>無（その他の居室）</t>
    <rPh sb="0" eb="1">
      <t>ナシ</t>
    </rPh>
    <phoneticPr fontId="1"/>
  </si>
  <si>
    <t>有（非居室）</t>
    <rPh sb="0" eb="1">
      <t>アリ</t>
    </rPh>
    <phoneticPr fontId="1"/>
  </si>
  <si>
    <t>無（非居室）</t>
    <rPh sb="0" eb="1">
      <t>ナシ</t>
    </rPh>
    <phoneticPr fontId="1"/>
  </si>
  <si>
    <t>一旦、非表示にするRow</t>
    <rPh sb="0" eb="2">
      <t>イッタン</t>
    </rPh>
    <rPh sb="3" eb="6">
      <t>ヒヒョウジ</t>
    </rPh>
    <phoneticPr fontId="1"/>
  </si>
  <si>
    <t>表示するRow／TargetCellName</t>
    <rPh sb="0" eb="2">
      <t>ヒョウジ</t>
    </rPh>
    <phoneticPr fontId="1"/>
  </si>
  <si>
    <t>基本08, 基本09, 基本10</t>
    <phoneticPr fontId="1"/>
  </si>
  <si>
    <t>基本08, 基本10</t>
    <phoneticPr fontId="1"/>
  </si>
  <si>
    <t>基本06, 基本07, 基本08, 基本09, 基本10, 基本11, 基本12</t>
    <phoneticPr fontId="1"/>
  </si>
  <si>
    <t>基本08, 基本09, 基本10, 基本11, 基本12</t>
    <phoneticPr fontId="1"/>
  </si>
  <si>
    <t>基本05, 基本08, 基本09, 基本10, 基本11, 基本12</t>
    <phoneticPr fontId="1"/>
  </si>
  <si>
    <t>基本11, 基本12</t>
    <phoneticPr fontId="1"/>
  </si>
  <si>
    <t>基本08, 基本09, 基本10</t>
  </si>
  <si>
    <t>基本11</t>
  </si>
  <si>
    <t>計算用シート</t>
    <rPh sb="0" eb="3">
      <t>ケイサンヨウ</t>
    </rPh>
    <phoneticPr fontId="1"/>
  </si>
  <si>
    <t>基本01</t>
    <rPh sb="0" eb="1">
      <t>キホン</t>
    </rPh>
    <phoneticPr fontId="1"/>
  </si>
  <si>
    <t>基本02</t>
    <phoneticPr fontId="1"/>
  </si>
  <si>
    <t>基本03</t>
  </si>
  <si>
    <t>基本04</t>
  </si>
  <si>
    <t>基本05</t>
  </si>
  <si>
    <t>基本06</t>
  </si>
  <si>
    <t>基本07</t>
  </si>
  <si>
    <t>基本08</t>
  </si>
  <si>
    <t>基本09</t>
  </si>
  <si>
    <t>基本10</t>
  </si>
  <si>
    <t>基本13</t>
    <phoneticPr fontId="1"/>
  </si>
  <si>
    <t>RowID</t>
    <phoneticPr fontId="1"/>
  </si>
  <si>
    <t>基本06, 基本07, 基本08, 基本09, 基本10, 基本11, 基本12</t>
  </si>
  <si>
    <t>基本05, 基本08, 基本09, 基本10, 基本11, 基本12</t>
  </si>
  <si>
    <t>日付</t>
    <rPh sb="0" eb="2">
      <t>ヒヅケ</t>
    </rPh>
    <phoneticPr fontId="1"/>
  </si>
  <si>
    <t>分類</t>
    <rPh sb="0" eb="2">
      <t>ブンルイ</t>
    </rPh>
    <phoneticPr fontId="1"/>
  </si>
  <si>
    <t>内容</t>
    <rPh sb="0" eb="2">
      <t>ナイヨウ</t>
    </rPh>
    <phoneticPr fontId="1"/>
  </si>
  <si>
    <t>関数</t>
    <rPh sb="0" eb="2">
      <t>カンスウ</t>
    </rPh>
    <phoneticPr fontId="1"/>
  </si>
  <si>
    <t>数字を2桁表示にする関数⇒ TEXT(ROW()-1,"00")</t>
    <rPh sb="0" eb="2">
      <t>スウジ</t>
    </rPh>
    <rPh sb="4" eb="5">
      <t>ケタ</t>
    </rPh>
    <rPh sb="5" eb="7">
      <t>ヒョウジ</t>
    </rPh>
    <rPh sb="10" eb="12">
      <t>カンスウ</t>
    </rPh>
    <phoneticPr fontId="1"/>
  </si>
  <si>
    <t>ID</t>
    <phoneticPr fontId="1"/>
  </si>
  <si>
    <t>大分類</t>
    <rPh sb="0" eb="3">
      <t>ダイブンルイ</t>
    </rPh>
    <phoneticPr fontId="1"/>
  </si>
  <si>
    <t>セル内容を作成する</t>
    <rPh sb="2" eb="4">
      <t>ナイヨウ</t>
    </rPh>
    <rPh sb="5" eb="7">
      <t>サクセイ</t>
    </rPh>
    <phoneticPr fontId="1"/>
  </si>
  <si>
    <t>基本情報</t>
    <rPh sb="0" eb="4">
      <t>キホンジョウホウ</t>
    </rPh>
    <phoneticPr fontId="1"/>
  </si>
  <si>
    <t>暖房</t>
    <rPh sb="0" eb="2">
      <t>ダンボウ</t>
    </rPh>
    <phoneticPr fontId="1"/>
  </si>
  <si>
    <t>冷房</t>
    <rPh sb="0" eb="2">
      <t>レイボウ</t>
    </rPh>
    <phoneticPr fontId="1"/>
  </si>
  <si>
    <t>換気</t>
    <rPh sb="0" eb="2">
      <t>カンキ</t>
    </rPh>
    <phoneticPr fontId="1"/>
  </si>
  <si>
    <t>熱交換</t>
    <rPh sb="0" eb="3">
      <t>ネツコウカン</t>
    </rPh>
    <phoneticPr fontId="1"/>
  </si>
  <si>
    <t>給湯</t>
    <rPh sb="0" eb="2">
      <t>キュウトウ</t>
    </rPh>
    <phoneticPr fontId="1"/>
  </si>
  <si>
    <t>照明</t>
    <rPh sb="0" eb="2">
      <t>ショウメイ</t>
    </rPh>
    <phoneticPr fontId="1"/>
  </si>
  <si>
    <t>太陽光</t>
    <rPh sb="0" eb="3">
      <t>タイヨウコウ</t>
    </rPh>
    <phoneticPr fontId="1"/>
  </si>
  <si>
    <t>太陽熱</t>
    <rPh sb="0" eb="3">
      <t>タイヨウネツ</t>
    </rPh>
    <phoneticPr fontId="1"/>
  </si>
  <si>
    <t>コージュネ</t>
    <phoneticPr fontId="1"/>
  </si>
  <si>
    <t>計算用シートを新規作成する</t>
    <rPh sb="0" eb="3">
      <t>ケイサンヨウ</t>
    </rPh>
    <rPh sb="7" eb="9">
      <t>シンキ</t>
    </rPh>
    <rPh sb="9" eb="11">
      <t>サクセイ</t>
    </rPh>
    <phoneticPr fontId="1"/>
  </si>
  <si>
    <t>02_外皮</t>
    <rPh sb="3" eb="5">
      <t>ガイヒ</t>
    </rPh>
    <phoneticPr fontId="1"/>
  </si>
  <si>
    <t>外皮01</t>
    <rPh sb="0" eb="2">
      <t>ガイヒ</t>
    </rPh>
    <phoneticPr fontId="1"/>
  </si>
  <si>
    <t>外皮02</t>
  </si>
  <si>
    <t>外皮02</t>
    <phoneticPr fontId="1"/>
  </si>
  <si>
    <t>外皮03</t>
  </si>
  <si>
    <t>外皮03</t>
    <phoneticPr fontId="1"/>
  </si>
  <si>
    <t>外皮04</t>
  </si>
  <si>
    <t>外皮04</t>
    <phoneticPr fontId="1"/>
  </si>
  <si>
    <t>外皮05</t>
  </si>
  <si>
    <t>外皮05</t>
    <phoneticPr fontId="1"/>
  </si>
  <si>
    <t>外皮01_外皮性能の評価方法</t>
    <phoneticPr fontId="1"/>
  </si>
  <si>
    <t>外皮02_外皮面積の合計</t>
    <phoneticPr fontId="1"/>
  </si>
  <si>
    <t>外皮04_蓄熱の利用</t>
    <phoneticPr fontId="1"/>
  </si>
  <si>
    <t>外皮05_床下空間を経由して外気を導入する換気方式の利用</t>
    <phoneticPr fontId="1"/>
  </si>
  <si>
    <t>外皮05_外気が経由する床下の面積の割合</t>
    <phoneticPr fontId="1"/>
  </si>
  <si>
    <t>外皮05_床下空間の断熱</t>
    <phoneticPr fontId="1"/>
  </si>
  <si>
    <t>外皮02_外皮平均熱貫流率</t>
    <phoneticPr fontId="1"/>
  </si>
  <si>
    <t>外皮02_冷房期の平均日射熱取得率</t>
    <phoneticPr fontId="1"/>
  </si>
  <si>
    <t>入力規則</t>
    <rPh sb="0" eb="2">
      <t>ニュウリョク</t>
    </rPh>
    <rPh sb="2" eb="4">
      <t>キソク</t>
    </rPh>
    <phoneticPr fontId="1"/>
  </si>
  <si>
    <t>セル名に使用できない文字⇒ 括弧</t>
    <rPh sb="2" eb="3">
      <t>メイ</t>
    </rPh>
    <rPh sb="4" eb="6">
      <t>シヨウ</t>
    </rPh>
    <rPh sb="10" eb="12">
      <t>モジ</t>
    </rPh>
    <rPh sb="14" eb="16">
      <t>カッコ</t>
    </rPh>
    <phoneticPr fontId="1"/>
  </si>
  <si>
    <t>外皮02</t>
    <rPh sb="0" eb="2">
      <t>ガイヒ</t>
    </rPh>
    <phoneticPr fontId="1"/>
  </si>
  <si>
    <t>外皮03</t>
    <rPh sb="0" eb="2">
      <t>ガイヒ</t>
    </rPh>
    <phoneticPr fontId="1"/>
  </si>
  <si>
    <t>外皮04</t>
    <rPh sb="0" eb="2">
      <t>ガイヒ</t>
    </rPh>
    <phoneticPr fontId="1"/>
  </si>
  <si>
    <t>外皮05</t>
    <rPh sb="0" eb="2">
      <t>ガイヒ</t>
    </rPh>
    <phoneticPr fontId="1"/>
  </si>
  <si>
    <t>外皮06</t>
    <rPh sb="0" eb="2">
      <t>ガイヒ</t>
    </rPh>
    <phoneticPr fontId="1"/>
  </si>
  <si>
    <t>外皮07</t>
    <rPh sb="0" eb="2">
      <t>ガイヒ</t>
    </rPh>
    <phoneticPr fontId="1"/>
  </si>
  <si>
    <t>外皮08</t>
    <rPh sb="0" eb="2">
      <t>ガイヒ</t>
    </rPh>
    <phoneticPr fontId="1"/>
  </si>
  <si>
    <t>外皮09</t>
    <rPh sb="0" eb="2">
      <t>ガイヒ</t>
    </rPh>
    <phoneticPr fontId="1"/>
  </si>
  <si>
    <t>外皮10</t>
    <rPh sb="0" eb="2">
      <t>ガイヒ</t>
    </rPh>
    <phoneticPr fontId="1"/>
  </si>
  <si>
    <t>通風の利用-主たる居室</t>
    <phoneticPr fontId="1"/>
  </si>
  <si>
    <t>外皮11</t>
    <rPh sb="0" eb="2">
      <t>ガイヒ</t>
    </rPh>
    <phoneticPr fontId="1"/>
  </si>
  <si>
    <t>通風の利用-その他の居室</t>
    <phoneticPr fontId="1"/>
  </si>
  <si>
    <t>外皮03_通風の利用_主たる居室</t>
    <rPh sb="11" eb="12">
      <t>シュ</t>
    </rPh>
    <rPh sb="14" eb="16">
      <t>キョシツ</t>
    </rPh>
    <phoneticPr fontId="1"/>
  </si>
  <si>
    <t>外皮03_通風の利用_その他の居室</t>
    <rPh sb="13" eb="14">
      <t>ホカ</t>
    </rPh>
    <rPh sb="15" eb="17">
      <t>キョシツ</t>
    </rPh>
    <phoneticPr fontId="1"/>
  </si>
  <si>
    <t>外皮02_暖房期の平均日射熱取得率</t>
  </si>
  <si>
    <t>利用する</t>
  </si>
  <si>
    <t>Sheet</t>
    <phoneticPr fontId="1"/>
  </si>
  <si>
    <t>6地域</t>
    <phoneticPr fontId="1"/>
  </si>
  <si>
    <t>外皮02, 外皮03, 外皮04, 外皮05, 外皮06, 外皮07, 外皮08, 外皮09</t>
    <phoneticPr fontId="1"/>
  </si>
  <si>
    <t>外皮06, 外皮07, 外皮08, 外皮09</t>
    <phoneticPr fontId="1"/>
  </si>
  <si>
    <t>10</t>
  </si>
  <si>
    <t>3.0</t>
  </si>
  <si>
    <t>3.0</t>
    <phoneticPr fontId="1"/>
  </si>
  <si>
    <t>外皮03, 外皮04, 外皮05, 外皮06, 外皮07, 外皮08, 外皮09</t>
    <phoneticPr fontId="1"/>
  </si>
  <si>
    <t>0.60</t>
  </si>
  <si>
    <t>0.60</t>
    <phoneticPr fontId="1"/>
  </si>
  <si>
    <t>0.87</t>
  </si>
  <si>
    <t>0.87</t>
    <phoneticPr fontId="1"/>
  </si>
  <si>
    <t>307.51</t>
  </si>
  <si>
    <t>307.51</t>
    <phoneticPr fontId="1"/>
  </si>
  <si>
    <t>2.8</t>
  </si>
  <si>
    <t>2.8</t>
    <phoneticPr fontId="1"/>
  </si>
  <si>
    <t>1.7</t>
  </si>
  <si>
    <t>1.7</t>
    <phoneticPr fontId="1"/>
  </si>
  <si>
    <t>4.3</t>
  </si>
  <si>
    <t>4.3</t>
    <phoneticPr fontId="1"/>
  </si>
  <si>
    <t>外皮10, 外皮11</t>
    <phoneticPr fontId="1"/>
  </si>
  <si>
    <t>暖房01</t>
    <rPh sb="0" eb="2">
      <t>ダンボウ</t>
    </rPh>
    <phoneticPr fontId="1"/>
  </si>
  <si>
    <t>暖房02</t>
    <rPh sb="0" eb="2">
      <t>ダンボウ</t>
    </rPh>
    <phoneticPr fontId="1"/>
  </si>
  <si>
    <t>暖房03</t>
    <rPh sb="0" eb="2">
      <t>ダンボウ</t>
    </rPh>
    <phoneticPr fontId="1"/>
  </si>
  <si>
    <t>暖房04</t>
    <rPh sb="0" eb="2">
      <t>ダンボウ</t>
    </rPh>
    <phoneticPr fontId="1"/>
  </si>
  <si>
    <t>暖房05</t>
    <rPh sb="0" eb="2">
      <t>ダンボウ</t>
    </rPh>
    <phoneticPr fontId="1"/>
  </si>
  <si>
    <t>暖房06</t>
    <rPh sb="0" eb="2">
      <t>ダンボウ</t>
    </rPh>
    <phoneticPr fontId="1"/>
  </si>
  <si>
    <t>暖房07</t>
    <rPh sb="0" eb="2">
      <t>ダンボウ</t>
    </rPh>
    <phoneticPr fontId="1"/>
  </si>
  <si>
    <t>暖房08</t>
    <rPh sb="0" eb="2">
      <t>ダンボウ</t>
    </rPh>
    <phoneticPr fontId="1"/>
  </si>
  <si>
    <t>暖房09</t>
    <rPh sb="0" eb="2">
      <t>ダンボウ</t>
    </rPh>
    <phoneticPr fontId="1"/>
  </si>
  <si>
    <t>暖房10</t>
    <rPh sb="0" eb="2">
      <t>ダンボウ</t>
    </rPh>
    <phoneticPr fontId="1"/>
  </si>
  <si>
    <t>暖房11</t>
    <rPh sb="0" eb="2">
      <t>ダンボウ</t>
    </rPh>
    <phoneticPr fontId="1"/>
  </si>
  <si>
    <t>暖房12</t>
    <rPh sb="0" eb="2">
      <t>ダンボウ</t>
    </rPh>
    <phoneticPr fontId="1"/>
  </si>
  <si>
    <t>暖房13</t>
    <rPh sb="0" eb="2">
      <t>ダンボウ</t>
    </rPh>
    <phoneticPr fontId="1"/>
  </si>
  <si>
    <t>暖房14</t>
    <rPh sb="0" eb="2">
      <t>ダンボウ</t>
    </rPh>
    <phoneticPr fontId="1"/>
  </si>
  <si>
    <t>暖房15</t>
    <rPh sb="0" eb="2">
      <t>ダンボウ</t>
    </rPh>
    <phoneticPr fontId="1"/>
  </si>
  <si>
    <t>暖房16</t>
    <rPh sb="0" eb="2">
      <t>ダンボウ</t>
    </rPh>
    <phoneticPr fontId="1"/>
  </si>
  <si>
    <t>暖房17</t>
    <rPh sb="0" eb="2">
      <t>ダンボウ</t>
    </rPh>
    <phoneticPr fontId="1"/>
  </si>
  <si>
    <t>暖房18</t>
    <rPh sb="0" eb="2">
      <t>ダンボウ</t>
    </rPh>
    <phoneticPr fontId="1"/>
  </si>
  <si>
    <t>暖房19</t>
    <rPh sb="0" eb="2">
      <t>ダンボウ</t>
    </rPh>
    <phoneticPr fontId="1"/>
  </si>
  <si>
    <t>暖房20</t>
    <rPh sb="0" eb="2">
      <t>ダンボウ</t>
    </rPh>
    <phoneticPr fontId="1"/>
  </si>
  <si>
    <t>暖房21</t>
    <rPh sb="0" eb="2">
      <t>ダンボウ</t>
    </rPh>
    <phoneticPr fontId="1"/>
  </si>
  <si>
    <t>暖房22</t>
    <rPh sb="0" eb="2">
      <t>ダンボウ</t>
    </rPh>
    <phoneticPr fontId="1"/>
  </si>
  <si>
    <t>暖房23</t>
    <rPh sb="0" eb="2">
      <t>ダンボウ</t>
    </rPh>
    <phoneticPr fontId="1"/>
  </si>
  <si>
    <t>暖房24</t>
    <rPh sb="0" eb="2">
      <t>ダンボウ</t>
    </rPh>
    <phoneticPr fontId="1"/>
  </si>
  <si>
    <t>暖房25</t>
    <rPh sb="0" eb="2">
      <t>ダンボウ</t>
    </rPh>
    <phoneticPr fontId="1"/>
  </si>
  <si>
    <t>03_暖房</t>
  </si>
  <si>
    <t>03_暖房</t>
    <phoneticPr fontId="1"/>
  </si>
  <si>
    <t>区分（い）</t>
  </si>
  <si>
    <t>区分（ろ）</t>
  </si>
  <si>
    <t>区分（は）</t>
  </si>
  <si>
    <t>評価しない、または搭載しない</t>
  </si>
  <si>
    <t>搭載する</t>
  </si>
  <si>
    <t>定格能力におけるエネルギー消費効率</t>
  </si>
  <si>
    <t>40.0</t>
  </si>
  <si>
    <t>40.0</t>
    <phoneticPr fontId="1"/>
  </si>
  <si>
    <t>10</t>
    <phoneticPr fontId="1"/>
  </si>
  <si>
    <t>20</t>
    <phoneticPr fontId="1"/>
  </si>
  <si>
    <t>30</t>
    <phoneticPr fontId="1"/>
  </si>
  <si>
    <t>40</t>
    <phoneticPr fontId="1"/>
  </si>
  <si>
    <t>50</t>
    <phoneticPr fontId="1"/>
  </si>
  <si>
    <t>60</t>
    <phoneticPr fontId="1"/>
  </si>
  <si>
    <t>70</t>
    <phoneticPr fontId="1"/>
  </si>
  <si>
    <t>80</t>
    <phoneticPr fontId="1"/>
  </si>
  <si>
    <t>90</t>
    <phoneticPr fontId="1"/>
  </si>
  <si>
    <t>100</t>
    <phoneticPr fontId="1"/>
  </si>
  <si>
    <t>86.0</t>
  </si>
  <si>
    <t>86.0</t>
    <phoneticPr fontId="1"/>
  </si>
  <si>
    <t>10.0</t>
  </si>
  <si>
    <t>10.0</t>
    <phoneticPr fontId="1"/>
  </si>
  <si>
    <t>20.0</t>
    <phoneticPr fontId="1"/>
  </si>
  <si>
    <t>30.0</t>
    <phoneticPr fontId="1"/>
  </si>
  <si>
    <t>50.0</t>
    <phoneticPr fontId="1"/>
  </si>
  <si>
    <t>60.0</t>
    <phoneticPr fontId="1"/>
  </si>
  <si>
    <t>70.0</t>
    <phoneticPr fontId="1"/>
  </si>
  <si>
    <t>80.0</t>
    <phoneticPr fontId="1"/>
  </si>
  <si>
    <t>90.0</t>
    <phoneticPr fontId="1"/>
  </si>
  <si>
    <t>100.0</t>
    <phoneticPr fontId="1"/>
  </si>
  <si>
    <t>利用する（換気回数5回/h相当以上）</t>
  </si>
  <si>
    <t>利用する（換気回数5回/h相当以上）</t>
    <phoneticPr fontId="1"/>
  </si>
  <si>
    <t>利用する（換気回数20回/h相当以上）</t>
  </si>
  <si>
    <t>利用する（換気回数20回/h相当以上）</t>
    <phoneticPr fontId="1"/>
  </si>
  <si>
    <t>ルームエアコンディショナー</t>
    <phoneticPr fontId="1"/>
  </si>
  <si>
    <t>FF暖房機</t>
    <phoneticPr fontId="1"/>
  </si>
  <si>
    <t>電気蓄熱暖房器</t>
    <phoneticPr fontId="1"/>
  </si>
  <si>
    <t>電気ヒーター床暖房</t>
    <phoneticPr fontId="1"/>
  </si>
  <si>
    <t>ルームエアコンディショナー付温水床暖房機</t>
    <phoneticPr fontId="1"/>
  </si>
  <si>
    <t>温水床暖房</t>
    <phoneticPr fontId="1"/>
  </si>
  <si>
    <t>パネルラジエーター</t>
    <phoneticPr fontId="1"/>
  </si>
  <si>
    <t>ファンコンベクター</t>
    <phoneticPr fontId="1"/>
  </si>
  <si>
    <t>ペレットストーブ</t>
    <phoneticPr fontId="1"/>
  </si>
  <si>
    <t>その他の暖房設備機器</t>
    <phoneticPr fontId="1"/>
  </si>
  <si>
    <t>基準値の算定において想定される機器（増改築部分を対象に評価する場合の基準設定仕様）</t>
    <phoneticPr fontId="1"/>
  </si>
  <si>
    <t>暖房設備機器または放熱器を設置しない</t>
    <phoneticPr fontId="1"/>
  </si>
  <si>
    <t>入力しない（規定値を用いる）</t>
    <phoneticPr fontId="1"/>
  </si>
  <si>
    <t>入力する</t>
    <phoneticPr fontId="1"/>
  </si>
  <si>
    <t>評価しない</t>
    <phoneticPr fontId="1"/>
  </si>
  <si>
    <t>評価する</t>
    <phoneticPr fontId="1"/>
  </si>
  <si>
    <t>評価しない、または採用しない</t>
    <phoneticPr fontId="1"/>
  </si>
  <si>
    <t>採用する</t>
    <phoneticPr fontId="1"/>
  </si>
  <si>
    <t>熱交換器タイプの入力</t>
  </si>
  <si>
    <t>熱交換器タイプ</t>
  </si>
  <si>
    <t>その他の温水暖房機の名称</t>
  </si>
  <si>
    <t>（その他の温水暖房機の名称）</t>
    <rPh sb="3" eb="4">
      <t>タ</t>
    </rPh>
    <rPh sb="5" eb="7">
      <t>オンスイ</t>
    </rPh>
    <rPh sb="7" eb="9">
      <t>ダンボウ</t>
    </rPh>
    <rPh sb="9" eb="10">
      <t>キ</t>
    </rPh>
    <rPh sb="11" eb="13">
      <t>メイショウ</t>
    </rPh>
    <phoneticPr fontId="1"/>
  </si>
  <si>
    <t>（その他の暖房機器の名称）</t>
    <rPh sb="3" eb="4">
      <t>タ</t>
    </rPh>
    <rPh sb="5" eb="7">
      <t>ダンボウ</t>
    </rPh>
    <rPh sb="7" eb="9">
      <t>キキ</t>
    </rPh>
    <phoneticPr fontId="1"/>
  </si>
  <si>
    <t>11.0</t>
  </si>
  <si>
    <t>11.0</t>
    <phoneticPr fontId="1"/>
  </si>
  <si>
    <t>21.0</t>
    <phoneticPr fontId="1"/>
  </si>
  <si>
    <t>31.0</t>
    <phoneticPr fontId="1"/>
  </si>
  <si>
    <t>41.0</t>
    <phoneticPr fontId="1"/>
  </si>
  <si>
    <t>51.0</t>
    <phoneticPr fontId="1"/>
  </si>
  <si>
    <t>61.0</t>
    <phoneticPr fontId="1"/>
  </si>
  <si>
    <t>71.0</t>
    <phoneticPr fontId="1"/>
  </si>
  <si>
    <t>81.0</t>
    <phoneticPr fontId="1"/>
  </si>
  <si>
    <t>91.0</t>
    <phoneticPr fontId="1"/>
  </si>
  <si>
    <t>m3/h (小数点以下1桁)</t>
  </si>
  <si>
    <t>設計風量</t>
  </si>
  <si>
    <t>暖房設備機器または放熱器の種類_主たる居室</t>
  </si>
  <si>
    <t>エネルギー消費効率の入力_主たる居室</t>
  </si>
  <si>
    <t>定格能力におけるエネルギー消費効率_主たる居室</t>
  </si>
  <si>
    <t>エネルギー消費効率の区分_主たる居室</t>
  </si>
  <si>
    <t>小能力時高効率型コンプレッサー_主たる居室</t>
  </si>
  <si>
    <t>敷設率の入力_主たる居室</t>
  </si>
  <si>
    <t>敷設率_主たる居室</t>
  </si>
  <si>
    <t>仮想床の床面積を除いた敷設率の入力_主たる居室</t>
  </si>
  <si>
    <t>仮想床の床面積を除いた敷設率_主たる居室</t>
  </si>
  <si>
    <t>低出力モード_主たる居室</t>
  </si>
  <si>
    <t>断熱配管_主たる居室</t>
  </si>
  <si>
    <t>熱出力_主たる居室</t>
  </si>
  <si>
    <t>熱効率_主たる居室</t>
  </si>
  <si>
    <t>点火時消費電力量_主たる居室</t>
  </si>
  <si>
    <t>定常時消費電力_主たる居室</t>
  </si>
  <si>
    <t>その他の暖房設備機器の名称_主たる居室</t>
  </si>
  <si>
    <t>暖房設備機器または放熱器の種類_その他の居室</t>
  </si>
  <si>
    <t>エネルギー消費効率の入力_その他の居室</t>
  </si>
  <si>
    <t>定格能力におけるエネルギー消費効率_その他の居室</t>
  </si>
  <si>
    <t>エネルギー消費効率の区分_その他の居室</t>
  </si>
  <si>
    <t>小能力時高効率型コンプレッサー_その他の居室</t>
  </si>
  <si>
    <t>敷設率の入力_その他の居室</t>
  </si>
  <si>
    <t>敷設率_その他の居室</t>
  </si>
  <si>
    <t>低出力モード_その他の居室</t>
  </si>
  <si>
    <t>断熱配管_その他の居室</t>
  </si>
  <si>
    <t>熱出力_その他の居室</t>
  </si>
  <si>
    <t>熱効率_その他の居室</t>
  </si>
  <si>
    <t>点火時消費電力量_その他の居室</t>
  </si>
  <si>
    <t>定常時消費電力_その他の居室</t>
  </si>
  <si>
    <t>その他の暖房設備機器の名称_その他の居室</t>
  </si>
  <si>
    <t>定格暖房能力試験_能力</t>
  </si>
  <si>
    <t>定格暖房能力試験_消費電力</t>
  </si>
  <si>
    <t xml:space="preserve">定格暖房能力試験_風量 </t>
  </si>
  <si>
    <t>定格暖房能力試験_室内側送風機の消費電力</t>
  </si>
  <si>
    <t>中間暖房能力試験_能力</t>
  </si>
  <si>
    <t>中間暖房能力試験_消費電力</t>
  </si>
  <si>
    <t xml:space="preserve">中間暖房能力試験_風量 </t>
  </si>
  <si>
    <t>中間暖房能力試験_室内側送風機の消費電力</t>
  </si>
  <si>
    <t>上面放熱率_床の断熱_主たる居室</t>
  </si>
  <si>
    <t>上面放熱率_床の断熱_主たる居室</t>
    <phoneticPr fontId="1"/>
  </si>
  <si>
    <t>上面放熱率_床の断熱_その他の居室</t>
  </si>
  <si>
    <t>上面放熱率_床の断熱_その他の居室</t>
    <phoneticPr fontId="1"/>
  </si>
  <si>
    <t>暖房26</t>
    <rPh sb="0" eb="2">
      <t>ダンボウ</t>
    </rPh>
    <phoneticPr fontId="1"/>
  </si>
  <si>
    <t>暖房27</t>
    <rPh sb="0" eb="2">
      <t>ダンボウ</t>
    </rPh>
    <phoneticPr fontId="1"/>
  </si>
  <si>
    <t>暖房28</t>
    <rPh sb="0" eb="2">
      <t>ダンボウ</t>
    </rPh>
    <phoneticPr fontId="1"/>
  </si>
  <si>
    <t>暖房29</t>
    <rPh sb="0" eb="2">
      <t>ダンボウ</t>
    </rPh>
    <phoneticPr fontId="1"/>
  </si>
  <si>
    <t>暖房30</t>
    <rPh sb="0" eb="2">
      <t>ダンボウ</t>
    </rPh>
    <phoneticPr fontId="1"/>
  </si>
  <si>
    <t>暖房31</t>
    <rPh sb="0" eb="2">
      <t>ダンボウ</t>
    </rPh>
    <phoneticPr fontId="1"/>
  </si>
  <si>
    <t>暖房32</t>
    <rPh sb="0" eb="2">
      <t>ダンボウ</t>
    </rPh>
    <phoneticPr fontId="1"/>
  </si>
  <si>
    <t>暖房33</t>
    <rPh sb="0" eb="2">
      <t>ダンボウ</t>
    </rPh>
    <phoneticPr fontId="1"/>
  </si>
  <si>
    <t>暖房34</t>
    <rPh sb="0" eb="2">
      <t>ダンボウ</t>
    </rPh>
    <phoneticPr fontId="1"/>
  </si>
  <si>
    <t>暖房35</t>
    <rPh sb="0" eb="2">
      <t>ダンボウ</t>
    </rPh>
    <phoneticPr fontId="1"/>
  </si>
  <si>
    <t>暖房36</t>
    <rPh sb="0" eb="2">
      <t>ダンボウ</t>
    </rPh>
    <phoneticPr fontId="1"/>
  </si>
  <si>
    <t>暖房37</t>
    <rPh sb="0" eb="2">
      <t>ダンボウ</t>
    </rPh>
    <phoneticPr fontId="1"/>
  </si>
  <si>
    <t>暖房38</t>
    <rPh sb="0" eb="2">
      <t>ダンボウ</t>
    </rPh>
    <phoneticPr fontId="1"/>
  </si>
  <si>
    <t>暖房39</t>
    <rPh sb="0" eb="2">
      <t>ダンボウ</t>
    </rPh>
    <phoneticPr fontId="1"/>
  </si>
  <si>
    <t>暖房40</t>
    <rPh sb="0" eb="2">
      <t>ダンボウ</t>
    </rPh>
    <phoneticPr fontId="1"/>
  </si>
  <si>
    <t>暖房41</t>
    <rPh sb="0" eb="2">
      <t>ダンボウ</t>
    </rPh>
    <phoneticPr fontId="1"/>
  </si>
  <si>
    <t>暖房42</t>
    <rPh sb="0" eb="2">
      <t>ダンボウ</t>
    </rPh>
    <phoneticPr fontId="1"/>
  </si>
  <si>
    <t>暖房43</t>
    <rPh sb="0" eb="2">
      <t>ダンボウ</t>
    </rPh>
    <phoneticPr fontId="1"/>
  </si>
  <si>
    <t>暖房44</t>
    <rPh sb="0" eb="2">
      <t>ダンボウ</t>
    </rPh>
    <phoneticPr fontId="1"/>
  </si>
  <si>
    <t>暖房45</t>
    <rPh sb="0" eb="2">
      <t>ダンボウ</t>
    </rPh>
    <phoneticPr fontId="1"/>
  </si>
  <si>
    <t>暖房46</t>
    <rPh sb="0" eb="2">
      <t>ダンボウ</t>
    </rPh>
    <phoneticPr fontId="1"/>
  </si>
  <si>
    <t>暖房47</t>
    <rPh sb="0" eb="2">
      <t>ダンボウ</t>
    </rPh>
    <phoneticPr fontId="1"/>
  </si>
  <si>
    <t>暖房48</t>
    <rPh sb="0" eb="2">
      <t>ダンボウ</t>
    </rPh>
    <phoneticPr fontId="1"/>
  </si>
  <si>
    <t>暖房49</t>
    <rPh sb="0" eb="2">
      <t>ダンボウ</t>
    </rPh>
    <phoneticPr fontId="1"/>
  </si>
  <si>
    <t>暖房50</t>
    <rPh sb="0" eb="2">
      <t>ダンボウ</t>
    </rPh>
    <phoneticPr fontId="1"/>
  </si>
  <si>
    <t>暖房51</t>
    <rPh sb="0" eb="2">
      <t>ダンボウ</t>
    </rPh>
    <phoneticPr fontId="1"/>
  </si>
  <si>
    <t>暖房52</t>
    <rPh sb="0" eb="2">
      <t>ダンボウ</t>
    </rPh>
    <phoneticPr fontId="1"/>
  </si>
  <si>
    <t>暖房53</t>
    <rPh sb="0" eb="2">
      <t>ダンボウ</t>
    </rPh>
    <phoneticPr fontId="1"/>
  </si>
  <si>
    <t>暖房54</t>
    <rPh sb="0" eb="2">
      <t>ダンボウ</t>
    </rPh>
    <phoneticPr fontId="1"/>
  </si>
  <si>
    <t>暖房55</t>
    <rPh sb="0" eb="2">
      <t>ダンボウ</t>
    </rPh>
    <phoneticPr fontId="1"/>
  </si>
  <si>
    <t>暖房56</t>
    <rPh sb="0" eb="2">
      <t>ダンボウ</t>
    </rPh>
    <phoneticPr fontId="1"/>
  </si>
  <si>
    <t>暖房02, 暖房03, 暖房19, 暖房20</t>
  </si>
  <si>
    <t>暖房02, 暖房03, 暖房19, 暖房20, 暖房42, 暖房43, 暖房44, 暖房45, 暖房46, 暖房55</t>
  </si>
  <si>
    <t>暖房02, 暖房03, 暖房19, 暖房20, 暖房42, 暖房43, 暖房44, 暖房45, 暖房46, 暖房55</t>
    <phoneticPr fontId="1"/>
  </si>
  <si>
    <t>暖房42, 暖房43, 暖房44, 暖房45, 暖房46, 暖房55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</si>
</sst>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7" formatCode="0.0_ "/>
    <numFmt numFmtId="178" formatCode="\_xd83d_\_xdd3d_\ @"/>
    <numFmt numFmtId="179" formatCode="0_ "/>
    <numFmt numFmtId="180" formatCode="00"/>
    <numFmt numFmtId="181" formatCode="yy/mm/dd"/>
    <numFmt numFmtId="185" formatCode="m/dd\ aaa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 UI"/>
      <family val="3"/>
      <charset val="128"/>
    </font>
    <font>
      <sz val="11"/>
      <color rgb="FFFF0000"/>
      <name val="Yu Gothic UI"/>
      <family val="3"/>
      <charset val="128"/>
    </font>
    <font>
      <sz val="10"/>
      <color theme="1"/>
      <name val="游ゴシック"/>
      <family val="3"/>
      <charset val="128"/>
      <scheme val="minor"/>
    </font>
    <font>
      <b/>
      <sz val="11"/>
      <color theme="3" tint="9.9978637043366805E-2"/>
      <name val="游ゴシック"/>
      <family val="3"/>
      <charset val="128"/>
      <scheme val="minor"/>
    </font>
    <font>
      <sz val="11"/>
      <color theme="3" tint="9.9978637043366805E-2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42">
    <border>
      <left/>
      <right/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ck">
        <color theme="3" tint="0.499984740745262"/>
      </left>
      <right/>
      <top style="thick">
        <color theme="3" tint="0.499984740745262"/>
      </top>
      <bottom style="medium">
        <color theme="3" tint="0.499984740745262"/>
      </bottom>
      <diagonal/>
    </border>
    <border>
      <left/>
      <right/>
      <top style="thick">
        <color theme="3" tint="0.499984740745262"/>
      </top>
      <bottom style="medium">
        <color theme="3" tint="0.499984740745262"/>
      </bottom>
      <diagonal/>
    </border>
    <border>
      <left/>
      <right style="thick">
        <color theme="3" tint="0.499984740745262"/>
      </right>
      <top style="thick">
        <color theme="3" tint="0.499984740745262"/>
      </top>
      <bottom style="medium">
        <color theme="3" tint="0.499984740745262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ck">
        <color theme="3" tint="0.499984740745262"/>
      </left>
      <right/>
      <top style="medium">
        <color theme="3" tint="0.499984740745262"/>
      </top>
      <bottom style="thin">
        <color theme="0" tint="-0.24994659260841701"/>
      </bottom>
      <diagonal/>
    </border>
    <border>
      <left/>
      <right/>
      <top style="medium">
        <color theme="3" tint="0.499984740745262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medium">
        <color theme="3" tint="0.499984740745262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ck">
        <color theme="3" tint="0.499984740745262"/>
      </right>
      <top style="thin">
        <color theme="0" tint="-0.24994659260841701"/>
      </top>
      <bottom/>
      <diagonal/>
    </border>
    <border>
      <left/>
      <right/>
      <top style="thick">
        <color theme="3" tint="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499984740745262"/>
      </left>
      <right/>
      <top style="thin">
        <color theme="0" tint="-0.24994659260841701"/>
      </top>
      <bottom style="thick">
        <color theme="3" tint="0.499984740745262"/>
      </bottom>
      <diagonal/>
    </border>
    <border>
      <left/>
      <right/>
      <top style="thin">
        <color theme="0" tint="-0.24994659260841701"/>
      </top>
      <bottom style="thick">
        <color theme="3" tint="0.499984740745262"/>
      </bottom>
      <diagonal/>
    </border>
    <border>
      <left/>
      <right style="thick">
        <color theme="3" tint="0.499984740745262"/>
      </right>
      <top style="thin">
        <color theme="0" tint="-0.24994659260841701"/>
      </top>
      <bottom style="thick">
        <color theme="3" tint="0.499984740745262"/>
      </bottom>
      <diagonal/>
    </border>
    <border>
      <left style="thick">
        <color theme="3" tint="0.499984740745262"/>
      </left>
      <right/>
      <top/>
      <bottom/>
      <diagonal/>
    </border>
    <border>
      <left/>
      <right style="thick">
        <color theme="3" tint="0.499984740745262"/>
      </right>
      <top/>
      <bottom/>
      <diagonal/>
    </border>
    <border>
      <left style="thick">
        <color theme="3" tint="0.499984740745262"/>
      </left>
      <right/>
      <top/>
      <bottom style="thin">
        <color theme="0" tint="-0.24994659260841701"/>
      </bottom>
      <diagonal/>
    </border>
    <border>
      <left/>
      <right style="thick">
        <color theme="3" tint="0.499984740745262"/>
      </right>
      <top/>
      <bottom style="thin">
        <color theme="0" tint="-0.24994659260841701"/>
      </bottom>
      <diagonal/>
    </border>
    <border>
      <left style="thin">
        <color theme="4" tint="0.39994506668294322"/>
      </left>
      <right/>
      <top/>
      <bottom style="thin">
        <color theme="3" tint="0.499984740745262"/>
      </bottom>
      <diagonal/>
    </border>
    <border>
      <left/>
      <right/>
      <top/>
      <bottom style="thin">
        <color theme="3" tint="0.499984740745262"/>
      </bottom>
      <diagonal/>
    </border>
    <border>
      <left/>
      <right style="thin">
        <color theme="4" tint="0.39994506668294322"/>
      </right>
      <top/>
      <bottom style="thin">
        <color theme="3" tint="0.499984740745262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2" fillId="0" borderId="0" xfId="0" applyFont="1">
      <alignment vertical="center"/>
    </xf>
    <xf numFmtId="177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180" fontId="4" fillId="0" borderId="0" xfId="0" applyNumberFormat="1" applyFont="1" applyFill="1" applyAlignment="1">
      <alignment horizontal="left" vertical="center"/>
    </xf>
    <xf numFmtId="0" fontId="5" fillId="0" borderId="20" xfId="0" applyFont="1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5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23" xfId="0" applyFill="1" applyBorder="1">
      <alignment vertical="center"/>
    </xf>
    <xf numFmtId="178" fontId="0" fillId="0" borderId="12" xfId="0" applyNumberFormat="1" applyFill="1" applyBorder="1">
      <alignment vertical="center"/>
    </xf>
    <xf numFmtId="0" fontId="5" fillId="2" borderId="8" xfId="0" applyFont="1" applyFill="1" applyBorder="1">
      <alignment vertical="center"/>
    </xf>
    <xf numFmtId="0" fontId="5" fillId="2" borderId="9" xfId="0" applyFont="1" applyFill="1" applyBorder="1">
      <alignment vertical="center"/>
    </xf>
    <xf numFmtId="0" fontId="6" fillId="2" borderId="10" xfId="0" applyFont="1" applyFill="1" applyBorder="1">
      <alignment vertical="center"/>
    </xf>
    <xf numFmtId="0" fontId="5" fillId="0" borderId="25" xfId="0" applyFont="1" applyFill="1" applyBorder="1">
      <alignment vertical="center"/>
    </xf>
    <xf numFmtId="178" fontId="0" fillId="0" borderId="25" xfId="0" applyNumberFormat="1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27" xfId="0" applyBorder="1">
      <alignment vertical="center"/>
    </xf>
    <xf numFmtId="0" fontId="0" fillId="0" borderId="27" xfId="0" applyFill="1" applyBorder="1">
      <alignment vertical="center"/>
    </xf>
    <xf numFmtId="0" fontId="8" fillId="0" borderId="0" xfId="0" applyFont="1" applyFill="1">
      <alignment vertical="center"/>
    </xf>
    <xf numFmtId="0" fontId="0" fillId="0" borderId="19" xfId="0" quotePrefix="1" applyBorder="1">
      <alignment vertical="center"/>
    </xf>
    <xf numFmtId="0" fontId="0" fillId="0" borderId="22" xfId="0" quotePrefix="1" applyBorder="1">
      <alignment vertical="center"/>
    </xf>
    <xf numFmtId="0" fontId="0" fillId="0" borderId="24" xfId="0" quotePrefix="1" applyBorder="1">
      <alignment vertical="center"/>
    </xf>
    <xf numFmtId="0" fontId="7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81" fontId="0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4" borderId="16" xfId="0" applyFont="1" applyFill="1" applyBorder="1">
      <alignment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2" xfId="0" applyFont="1" applyFill="1" applyBorder="1">
      <alignment vertical="center"/>
    </xf>
    <xf numFmtId="0" fontId="4" fillId="4" borderId="13" xfId="0" applyFont="1" applyFill="1" applyBorder="1">
      <alignment vertical="center"/>
    </xf>
    <xf numFmtId="0" fontId="4" fillId="4" borderId="0" xfId="0" applyFont="1" applyFill="1">
      <alignment vertical="center"/>
    </xf>
    <xf numFmtId="0" fontId="4" fillId="0" borderId="0" xfId="0" applyFont="1">
      <alignment vertical="center"/>
    </xf>
    <xf numFmtId="0" fontId="4" fillId="4" borderId="17" xfId="0" applyFont="1" applyFill="1" applyBorder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>
      <alignment vertical="center"/>
    </xf>
    <xf numFmtId="0" fontId="4" fillId="4" borderId="14" xfId="0" applyFont="1" applyFill="1" applyBorder="1">
      <alignment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1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4" borderId="18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28" xfId="0" applyFont="1" applyFill="1" applyBorder="1">
      <alignment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>
      <alignment vertical="center"/>
    </xf>
    <xf numFmtId="0" fontId="4" fillId="3" borderId="30" xfId="0" applyFont="1" applyFill="1" applyBorder="1">
      <alignment vertical="center"/>
    </xf>
    <xf numFmtId="0" fontId="4" fillId="3" borderId="31" xfId="0" applyFont="1" applyFill="1" applyBorder="1">
      <alignment vertical="center"/>
    </xf>
    <xf numFmtId="0" fontId="9" fillId="0" borderId="0" xfId="0" applyFont="1" applyBorder="1">
      <alignment vertical="center"/>
    </xf>
    <xf numFmtId="178" fontId="9" fillId="0" borderId="12" xfId="0" applyNumberFormat="1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9" fillId="0" borderId="27" xfId="0" applyFont="1" applyBorder="1">
      <alignment vertical="center"/>
    </xf>
    <xf numFmtId="0" fontId="9" fillId="0" borderId="27" xfId="0" applyFont="1" applyFill="1" applyBorder="1">
      <alignment vertical="center"/>
    </xf>
    <xf numFmtId="0" fontId="9" fillId="0" borderId="19" xfId="0" applyFont="1" applyBorder="1">
      <alignment vertical="center"/>
    </xf>
    <xf numFmtId="0" fontId="5" fillId="0" borderId="20" xfId="0" applyFont="1" applyBorder="1">
      <alignment vertical="center"/>
    </xf>
    <xf numFmtId="178" fontId="9" fillId="0" borderId="20" xfId="0" applyNumberFormat="1" applyFont="1" applyFill="1" applyBorder="1">
      <alignment vertical="center"/>
    </xf>
    <xf numFmtId="0" fontId="9" fillId="0" borderId="20" xfId="0" applyFont="1" applyBorder="1">
      <alignment vertical="center"/>
    </xf>
    <xf numFmtId="0" fontId="9" fillId="0" borderId="21" xfId="0" applyFont="1" applyBorder="1">
      <alignment vertical="center"/>
    </xf>
    <xf numFmtId="0" fontId="9" fillId="0" borderId="22" xfId="0" applyFont="1" applyBorder="1">
      <alignment vertical="center"/>
    </xf>
    <xf numFmtId="0" fontId="5" fillId="0" borderId="12" xfId="0" applyFont="1" applyBorder="1">
      <alignment vertical="center"/>
    </xf>
    <xf numFmtId="0" fontId="9" fillId="0" borderId="12" xfId="0" applyFont="1" applyBorder="1">
      <alignment vertical="center"/>
    </xf>
    <xf numFmtId="0" fontId="9" fillId="0" borderId="23" xfId="0" applyFont="1" applyBorder="1">
      <alignment vertical="center"/>
    </xf>
    <xf numFmtId="0" fontId="9" fillId="0" borderId="12" xfId="0" applyFont="1" applyFill="1" applyBorder="1" applyAlignment="1">
      <alignment horizontal="right" vertical="center"/>
    </xf>
    <xf numFmtId="0" fontId="9" fillId="0" borderId="32" xfId="0" applyFont="1" applyBorder="1">
      <alignment vertical="center"/>
    </xf>
    <xf numFmtId="0" fontId="5" fillId="0" borderId="33" xfId="0" applyFont="1" applyBorder="1">
      <alignment vertical="center"/>
    </xf>
    <xf numFmtId="178" fontId="9" fillId="0" borderId="33" xfId="0" applyNumberFormat="1" applyFont="1" applyFill="1" applyBorder="1">
      <alignment vertical="center"/>
    </xf>
    <xf numFmtId="0" fontId="9" fillId="0" borderId="33" xfId="0" applyFont="1" applyBorder="1">
      <alignment vertical="center"/>
    </xf>
    <xf numFmtId="0" fontId="9" fillId="0" borderId="34" xfId="0" applyFont="1" applyBorder="1">
      <alignment vertical="center"/>
    </xf>
    <xf numFmtId="0" fontId="0" fillId="0" borderId="25" xfId="0" applyFill="1" applyBorder="1" applyAlignment="1">
      <alignment horizontal="right" vertical="center" indent="5"/>
    </xf>
    <xf numFmtId="0" fontId="0" fillId="0" borderId="35" xfId="0" quotePrefix="1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Fill="1" applyBorder="1" applyAlignment="1">
      <alignment horizontal="right" vertical="center" indent="5"/>
    </xf>
    <xf numFmtId="0" fontId="0" fillId="0" borderId="0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37" xfId="0" quotePrefix="1" applyBorder="1">
      <alignment vertical="center"/>
    </xf>
    <xf numFmtId="0" fontId="5" fillId="0" borderId="11" xfId="0" applyFont="1" applyFill="1" applyBorder="1">
      <alignment vertical="center"/>
    </xf>
    <xf numFmtId="0" fontId="0" fillId="0" borderId="11" xfId="0" applyFill="1" applyBorder="1" applyAlignment="1">
      <alignment horizontal="right" vertical="center" indent="5"/>
    </xf>
    <xf numFmtId="0" fontId="0" fillId="0" borderId="11" xfId="0" applyFill="1" applyBorder="1">
      <alignment vertical="center"/>
    </xf>
    <xf numFmtId="0" fontId="0" fillId="0" borderId="38" xfId="0" applyFill="1" applyBorder="1">
      <alignment vertical="center"/>
    </xf>
    <xf numFmtId="180" fontId="4" fillId="0" borderId="0" xfId="0" quotePrefix="1" applyNumberFormat="1" applyFont="1" applyFill="1" applyAlignment="1">
      <alignment horizontal="left" vertical="center"/>
    </xf>
    <xf numFmtId="0" fontId="9" fillId="0" borderId="12" xfId="0" applyNumberFormat="1" applyFont="1" applyFill="1" applyBorder="1" applyAlignment="1">
      <alignment horizontal="right" vertical="center"/>
    </xf>
    <xf numFmtId="0" fontId="4" fillId="0" borderId="0" xfId="0" applyNumberFormat="1" applyFont="1" applyFill="1">
      <alignment vertical="center"/>
    </xf>
    <xf numFmtId="49" fontId="4" fillId="3" borderId="0" xfId="0" applyNumberFormat="1" applyFont="1" applyFill="1" applyAlignment="1">
      <alignment horizontal="left" vertical="center"/>
    </xf>
    <xf numFmtId="49" fontId="4" fillId="3" borderId="28" xfId="0" applyNumberFormat="1" applyFont="1" applyFill="1" applyBorder="1" applyAlignment="1">
      <alignment horizontal="left" vertical="center"/>
    </xf>
    <xf numFmtId="49" fontId="4" fillId="0" borderId="0" xfId="0" quotePrefix="1" applyNumberFormat="1" applyFont="1" applyFill="1">
      <alignment vertical="center"/>
    </xf>
    <xf numFmtId="49" fontId="4" fillId="3" borderId="0" xfId="0" quotePrefix="1" applyNumberFormat="1" applyFont="1" applyFill="1" applyAlignment="1">
      <alignment horizontal="left" vertical="center"/>
    </xf>
    <xf numFmtId="49" fontId="4" fillId="3" borderId="28" xfId="0" quotePrefix="1" applyNumberFormat="1" applyFont="1" applyFill="1" applyBorder="1" applyAlignment="1">
      <alignment horizontal="left" vertical="center"/>
    </xf>
    <xf numFmtId="185" fontId="0" fillId="0" borderId="0" xfId="0" applyNumberFormat="1" applyAlignment="1">
      <alignment horizontal="center" vertical="center"/>
    </xf>
    <xf numFmtId="0" fontId="4" fillId="5" borderId="0" xfId="0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0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>
      <alignment vertical="center"/>
    </xf>
    <xf numFmtId="177" fontId="4" fillId="5" borderId="0" xfId="0" applyNumberFormat="1" applyFont="1" applyFill="1" applyBorder="1">
      <alignment vertical="center"/>
    </xf>
    <xf numFmtId="179" fontId="4" fillId="5" borderId="0" xfId="0" applyNumberFormat="1" applyFont="1" applyFill="1" applyBorder="1">
      <alignment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>
      <alignment vertical="center"/>
    </xf>
    <xf numFmtId="0" fontId="4" fillId="5" borderId="7" xfId="0" applyFont="1" applyFill="1" applyBorder="1">
      <alignment vertical="center"/>
    </xf>
    <xf numFmtId="0" fontId="4" fillId="5" borderId="39" xfId="0" applyFont="1" applyFill="1" applyBorder="1" applyAlignment="1">
      <alignment horizontal="center" vertical="center"/>
    </xf>
    <xf numFmtId="0" fontId="4" fillId="5" borderId="40" xfId="0" applyFont="1" applyFill="1" applyBorder="1">
      <alignment vertical="center"/>
    </xf>
    <xf numFmtId="0" fontId="4" fillId="5" borderId="41" xfId="0" applyFont="1" applyFill="1" applyBorder="1">
      <alignment vertical="center"/>
    </xf>
    <xf numFmtId="49" fontId="4" fillId="5" borderId="0" xfId="0" applyNumberFormat="1" applyFont="1" applyFill="1" applyBorder="1" applyAlignment="1">
      <alignment vertical="center"/>
    </xf>
    <xf numFmtId="49" fontId="4" fillId="5" borderId="4" xfId="0" applyNumberFormat="1" applyFont="1" applyFill="1" applyBorder="1">
      <alignment vertical="center"/>
    </xf>
    <xf numFmtId="49" fontId="4" fillId="5" borderId="0" xfId="0" applyNumberFormat="1" applyFont="1" applyFill="1" applyBorder="1">
      <alignment vertical="center"/>
    </xf>
    <xf numFmtId="0" fontId="0" fillId="0" borderId="35" xfId="0" applyBorder="1">
      <alignment vertical="center"/>
    </xf>
    <xf numFmtId="0" fontId="0" fillId="0" borderId="0" xfId="0" applyBorder="1">
      <alignment vertical="center"/>
    </xf>
    <xf numFmtId="178" fontId="0" fillId="0" borderId="0" xfId="0" applyNumberFormat="1" applyFill="1" applyBorder="1">
      <alignment vertical="center"/>
    </xf>
    <xf numFmtId="0" fontId="0" fillId="0" borderId="36" xfId="0" applyBorder="1">
      <alignment vertical="center"/>
    </xf>
    <xf numFmtId="0" fontId="5" fillId="0" borderId="0" xfId="0" applyFont="1" applyBorder="1">
      <alignment vertical="center"/>
    </xf>
  </cellXfs>
  <cellStyles count="1">
    <cellStyle name="標準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80" formatCode="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House">
        <xsd:complexType>
          <xsd:sequence minOccurs="0">
            <xsd:element minOccurs="0" nillable="true" name="Environment" form="unqualified">
              <xsd:complexType>
                <xsd:attribute name="Region" form="unqualified" type="xsd:integer"/>
              </xsd:complexType>
            </xsd:element>
            <xsd:element minOccurs="0" nillable="true" name="Zones" form="unqualified">
              <xsd:complexType>
                <xsd:sequence minOccurs="0">
                  <xsd:element minOccurs="0" maxOccurs="unbounded" nillable="true" name="Zone" form="unqualified">
                    <xsd:complexType>
                      <xsd:attribute name="Type" form="unqualified" type="xsd:string"/>
                      <xsd:attribute name="Area" form="unqualified" type="xsd:double"/>
                      <xsd:attribute name="NaturalWind" form="unqualified" type="xsd:integer"/>
                    </xsd:complexType>
                  </xsd:element>
                </xsd:sequence>
              </xsd:complexType>
            </xsd:element>
            <xsd:element minOccurs="0" nillable="true" name="Envelope" form="unqualified">
              <xsd:complexType>
                <xsd:attribute name="HeatStorage" form="unqualified" type="xsd:string"/>
                <xsd:attribute name="EvaluationMethod" form="unqualified" type="xsd:string"/>
                <xsd:attribute name="TotalEnvelopeArea" form="unqualified" type="xsd:double"/>
                <xsd:attribute name="UAValue" form="unqualified" type="xsd:double"/>
                <xsd:attribute name="SummerHAValue" form="unqualified" type="xsd:double"/>
                <xsd:attribute name="WinterHAValue" form="unqualified" type="xsd:double"/>
              </xsd:complexType>
            </xsd:element>
            <xsd:element minOccurs="0" nillable="true" name="Heating" form="unqualified">
              <xsd:complexType>
                <xsd:sequence minOccurs="0">
                  <xsd:element minOccurs="0" maxOccurs="unbounded" nillable="true" name="RoomAirConditioningHeat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Cooling" form="unqualified">
              <xsd:complexType>
                <xsd:sequence minOccurs="0">
                  <xsd:element minOccurs="0" maxOccurs="unbounded" nillable="true" name="RoomAirConditioningCool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Ventilation" form="unqualified">
              <xsd:complexType>
                <xsd:attribute name="Type" form="unqualified" type="xsd:string"/>
                <xsd:attribute name="HeatExchanger" form="unqualified" type="xsd:string"/>
                <xsd:attribute name="Frequency" form="unqualified" type="xsd:string"/>
              </xsd:complexType>
            </xsd:element>
            <xsd:element minOccurs="0" nillable="true" name="Hotwater" form="unqualified">
              <xsd:complexType>
                <xsd:sequence minOccurs="0">
                  <xsd:element minOccurs="0" nillable="true" name="WaterHeater" form="unqualified">
                    <xsd:complexType>
                      <xsd:attribute name="Install" form="unqualified" type="xsd:string"/>
                      <xsd:attribute name="Type" form="unqualified" type="xsd:string"/>
                    </xsd:complexType>
                  </xsd:element>
                  <xsd:element minOccurs="0" nillable="true" name="Bath" form="unqualified">
                    <xsd:complexType>
                      <xsd:attribute name="Function" form="unqualified" type="xsd:string"/>
                      <xsd:attribute name="Insulation" form="unqualified" type="xsd:string"/>
                    </xsd:complexType>
                  </xsd:element>
                  <xsd:element minOccurs="0" nillable="true" name="Pipe" form="unqualified">
                    <xsd:complexType>
                      <xsd:attribute name="Type" form="unqualified" type="xsd:string"/>
                    </xsd:complexType>
                  </xsd:element>
                  <xsd:element minOccurs="0" maxOccurs="unbounded" nillable="true" name="Tap" form="unqualified">
                    <xsd:complexType>
                      <xsd:attribute name="Type" form="unqualified" type="xsd:string"/>
                      <xsd:attribute name="Saving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Lighting" form="unqualified"/>
          </xsd:sequence>
          <xsd:attribute name="ProgramName" form="unqualified" type="xsd:string"/>
          <xsd:attribute name="ProgramVersion" form="unqualified" type="xsd:string"/>
          <xsd:attribute name="Name" form="unqualified" type="xsd:string"/>
          <xsd:attribute name="EvaluationMethod" form="unqualified" type="xsd:string"/>
          <xsd:attribute name="Type" form="unqualified" type="xsd:string"/>
          <xsd:attribute name="TotalArea" form="unqualified" type="xsd:double"/>
          <xsd:attribute name="CreateDate" form="unqualified" type="xsd:string"/>
        </xsd:complexType>
      </xsd:element>
    </xsd:schema>
  </Schema>
  <Map ID="1" Name="House_対応付け" RootElement="House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xmlMaps" Target="xmlMap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5</xdr:col>
      <xdr:colOff>0</xdr:colOff>
      <xdr:row>163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AF62377-B91A-4737-A4B7-D7CE0DA64983}"/>
            </a:ext>
          </a:extLst>
        </xdr:cNvPr>
        <xdr:cNvSpPr/>
      </xdr:nvSpPr>
      <xdr:spPr>
        <a:xfrm flipV="1">
          <a:off x="0" y="13411200"/>
          <a:ext cx="13411200" cy="20745450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31</xdr:row>
      <xdr:rowOff>0</xdr:rowOff>
    </xdr:from>
    <xdr:to>
      <xdr:col>8</xdr:col>
      <xdr:colOff>1</xdr:colOff>
      <xdr:row>64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30F2C37-5EC9-B1C3-1FFF-8389C6BEC903}"/>
            </a:ext>
          </a:extLst>
        </xdr:cNvPr>
        <xdr:cNvSpPr/>
      </xdr:nvSpPr>
      <xdr:spPr>
        <a:xfrm>
          <a:off x="1" y="6496050"/>
          <a:ext cx="15601950" cy="6915150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4A37DA-98F8-4AC7-BEF9-B7023FB8C078}" name="テーブル2" displayName="テーブル2" ref="A1:H220" totalsRowShown="0" headerRowDxfId="12" dataDxfId="11">
  <autoFilter ref="A1:H220" xr:uid="{AF4A37DA-98F8-4AC7-BEF9-B7023FB8C078}"/>
  <tableColumns count="8">
    <tableColumn id="1" xr3:uid="{3D2393F0-3326-4526-86C4-49E4A8F19D66}" name="No." dataDxfId="10">
      <calculatedColumnFormula>ROW()-1</calculatedColumnFormula>
    </tableColumn>
    <tableColumn id="2" xr3:uid="{E6BFDE49-640F-401B-B09B-36406DE8486F}" name="Sheet" dataDxfId="9"/>
    <tableColumn id="3" xr3:uid="{5299D579-C056-478A-85A0-4385AE13D428}" name="TriggerCellName" dataDxfId="8"/>
    <tableColumn id="4" xr3:uid="{14132DD0-E20F-4B14-9919-07971B576DF8}" name="TriggerValue" dataDxfId="7"/>
    <tableColumn id="5" xr3:uid="{B02B6FC1-46E5-48EA-96F8-C571C81B44A8}" name="一旦、非表示にするRow" dataDxfId="6"/>
    <tableColumn id="6" xr3:uid="{FE58AFE0-EA9E-4D38-8B67-CA1781FCBAC8}" name="表示するRow／TargetCellName" dataDxfId="5"/>
    <tableColumn id="7" xr3:uid="{3231FC1D-86CB-46E9-9A10-06375BB651C2}" name="memo " dataDxfId="4">
      <calculatedColumnFormula>LEFT(C2, FIND("_", C2) - 1)</calculatedColumnFormula>
    </tableColumn>
    <tableColumn id="8" xr3:uid="{B1DF2A4F-985B-45D3-8E50-BC4382EB6C44}" name="RowID" dataDxfId="3">
      <calculatedColumnFormula>テーブル2[[#This Row],[Sheet]]&amp;TEXT(ROW()-1,"00")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6C5C-1ABC-40CF-928D-F158E735D24D}">
  <sheetPr codeName="Sheet01"/>
  <dimension ref="A1:E15"/>
  <sheetViews>
    <sheetView showGridLines="0" workbookViewId="0">
      <selection activeCell="C13" sqref="C13"/>
    </sheetView>
  </sheetViews>
  <sheetFormatPr defaultRowHeight="21.95" customHeight="1" x14ac:dyDescent="0.4"/>
  <cols>
    <col min="1" max="1" width="7.25" bestFit="1" customWidth="1"/>
    <col min="2" max="2" width="25.75" bestFit="1" customWidth="1"/>
    <col min="3" max="3" width="44" bestFit="1" customWidth="1"/>
    <col min="4" max="4" width="19.25" bestFit="1" customWidth="1"/>
    <col min="7" max="7" width="7.25" bestFit="1" customWidth="1"/>
  </cols>
  <sheetData>
    <row r="1" spans="1:5" ht="21.95" customHeight="1" thickTop="1" thickBot="1" x14ac:dyDescent="0.45">
      <c r="A1" s="12" t="s">
        <v>223</v>
      </c>
      <c r="B1" s="13" t="s">
        <v>154</v>
      </c>
      <c r="C1" s="13" t="s">
        <v>137</v>
      </c>
      <c r="D1" s="13" t="s">
        <v>141</v>
      </c>
      <c r="E1" s="14"/>
    </row>
    <row r="2" spans="1:5" ht="21.95" customHeight="1" x14ac:dyDescent="0.4">
      <c r="A2" s="22" t="s">
        <v>204</v>
      </c>
      <c r="B2" s="5" t="s">
        <v>0</v>
      </c>
      <c r="C2" s="6" t="s">
        <v>3</v>
      </c>
      <c r="D2" s="6"/>
      <c r="E2" s="7"/>
    </row>
    <row r="3" spans="1:5" ht="21.95" customHeight="1" x14ac:dyDescent="0.4">
      <c r="A3" s="23" t="s">
        <v>205</v>
      </c>
      <c r="B3" s="8" t="s">
        <v>1</v>
      </c>
      <c r="C3" s="9" t="s">
        <v>35</v>
      </c>
      <c r="D3" s="9"/>
      <c r="E3" s="10"/>
    </row>
    <row r="4" spans="1:5" ht="21.95" customHeight="1" x14ac:dyDescent="0.4">
      <c r="A4" s="23" t="s">
        <v>206</v>
      </c>
      <c r="B4" s="8" t="s">
        <v>56</v>
      </c>
      <c r="C4" s="11" t="s">
        <v>156</v>
      </c>
      <c r="D4" s="9"/>
      <c r="E4" s="10"/>
    </row>
    <row r="5" spans="1:5" ht="21.95" customHeight="1" x14ac:dyDescent="0.4">
      <c r="A5" s="23" t="s">
        <v>207</v>
      </c>
      <c r="B5" s="8" t="s">
        <v>2</v>
      </c>
      <c r="C5" s="11" t="s">
        <v>4</v>
      </c>
      <c r="D5" s="9"/>
      <c r="E5" s="10"/>
    </row>
    <row r="6" spans="1:5" ht="21.95" customHeight="1" x14ac:dyDescent="0.4">
      <c r="A6" s="23" t="s">
        <v>208</v>
      </c>
      <c r="B6" s="8" t="s">
        <v>31</v>
      </c>
      <c r="C6" s="11" t="s">
        <v>37</v>
      </c>
      <c r="D6" s="9"/>
      <c r="E6" s="10"/>
    </row>
    <row r="7" spans="1:5" ht="21.95" customHeight="1" x14ac:dyDescent="0.4">
      <c r="A7" s="23" t="s">
        <v>209</v>
      </c>
      <c r="B7" s="8" t="s">
        <v>176</v>
      </c>
      <c r="C7" s="11" t="s">
        <v>190</v>
      </c>
      <c r="D7" s="9"/>
      <c r="E7" s="10"/>
    </row>
    <row r="8" spans="1:5" ht="21.95" customHeight="1" x14ac:dyDescent="0.4">
      <c r="A8" s="23" t="s">
        <v>210</v>
      </c>
      <c r="B8" s="8" t="s">
        <v>177</v>
      </c>
      <c r="C8" s="11" t="s">
        <v>192</v>
      </c>
      <c r="D8" s="9"/>
      <c r="E8" s="10"/>
    </row>
    <row r="9" spans="1:5" ht="21.95" customHeight="1" x14ac:dyDescent="0.4">
      <c r="A9" s="24" t="s">
        <v>211</v>
      </c>
      <c r="B9" s="15" t="s">
        <v>138</v>
      </c>
      <c r="C9" s="73">
        <v>29.81</v>
      </c>
      <c r="D9" s="17" t="s">
        <v>57</v>
      </c>
      <c r="E9" s="18"/>
    </row>
    <row r="10" spans="1:5" ht="21.95" hidden="1" customHeight="1" x14ac:dyDescent="0.4">
      <c r="A10" s="74" t="s">
        <v>212</v>
      </c>
      <c r="B10" s="75" t="s">
        <v>139</v>
      </c>
      <c r="C10" s="76">
        <v>51.34</v>
      </c>
      <c r="D10" s="77" t="s">
        <v>57</v>
      </c>
      <c r="E10" s="78"/>
    </row>
    <row r="11" spans="1:5" ht="21.95" customHeight="1" x14ac:dyDescent="0.4">
      <c r="A11" s="79" t="s">
        <v>213</v>
      </c>
      <c r="B11" s="80" t="s">
        <v>140</v>
      </c>
      <c r="C11" s="81">
        <v>120.08</v>
      </c>
      <c r="D11" s="82" t="s">
        <v>57</v>
      </c>
      <c r="E11" s="83"/>
    </row>
    <row r="12" spans="1:5" ht="21.95" customHeight="1" x14ac:dyDescent="0.4">
      <c r="A12" s="23" t="s">
        <v>202</v>
      </c>
      <c r="B12" s="8" t="s">
        <v>32</v>
      </c>
      <c r="C12" s="11" t="s">
        <v>48</v>
      </c>
      <c r="D12" s="9"/>
      <c r="E12" s="10"/>
    </row>
    <row r="13" spans="1:5" ht="21.95" customHeight="1" thickBot="1" x14ac:dyDescent="0.45">
      <c r="A13" s="23" t="s">
        <v>186</v>
      </c>
      <c r="B13" s="8" t="s">
        <v>33</v>
      </c>
      <c r="C13" s="11" t="s">
        <v>49</v>
      </c>
      <c r="D13" s="9"/>
      <c r="E13" s="10"/>
    </row>
    <row r="14" spans="1:5" ht="21.95" hidden="1" customHeight="1" thickBot="1" x14ac:dyDescent="0.45">
      <c r="A14" s="24" t="s">
        <v>214</v>
      </c>
      <c r="B14" s="15" t="s">
        <v>34</v>
      </c>
      <c r="C14" s="16" t="s">
        <v>50</v>
      </c>
      <c r="D14" s="17"/>
      <c r="E14" s="18"/>
    </row>
    <row r="15" spans="1:5" ht="21.95" customHeight="1" thickTop="1" x14ac:dyDescent="0.4">
      <c r="A15" s="19"/>
      <c r="B15" s="19"/>
      <c r="C15" s="20"/>
      <c r="D15" s="19"/>
      <c r="E15" s="19"/>
    </row>
  </sheetData>
  <phoneticPr fontId="1"/>
  <dataValidations count="10">
    <dataValidation type="list" allowBlank="1" showInputMessage="1" showErrorMessage="1" sqref="C4" xr:uid="{86594C58-136D-4300-A532-A1022FF065B8}">
      <formula1>基本_住宅の建て方</formula1>
    </dataValidation>
    <dataValidation type="list" allowBlank="1" showInputMessage="1" showErrorMessage="1" sqref="C5" xr:uid="{EB6EB0F4-F4D2-4F12-9311-0AA45B355EF4}">
      <formula1>基本_住戸の評価方法</formula1>
    </dataValidation>
    <dataValidation type="list" allowBlank="1" showInputMessage="1" showErrorMessage="1" sqref="C6" xr:uid="{508615BF-1197-4AF5-B0EE-9FA10C7EFE91}">
      <formula1>基本_居室の構成</formula1>
    </dataValidation>
    <dataValidation type="list" allowBlank="1" showInputMessage="1" showErrorMessage="1" sqref="C12" xr:uid="{C47ADF50-C707-45A1-8121-748249B92B57}">
      <formula1>基本_地域の区分</formula1>
    </dataValidation>
    <dataValidation type="list" allowBlank="1" showInputMessage="1" showErrorMessage="1" sqref="C13" xr:uid="{011F8C2B-CA2B-4399-8533-E1F908B5A6F6}">
      <formula1>基本_年間の日射地域区分の指定</formula1>
    </dataValidation>
    <dataValidation type="list" allowBlank="1" showInputMessage="1" showErrorMessage="1" sqref="C14" xr:uid="{7FE0CAA1-E428-495A-83E4-095772989D4F}">
      <formula1>基本_年間の日射地域区分</formula1>
    </dataValidation>
    <dataValidation type="list" allowBlank="1" showInputMessage="1" showErrorMessage="1" sqref="C2" xr:uid="{D39DF7B1-A195-48E3-A3A8-1FAC9ED65A59}">
      <formula1>基本_住宅タイプの名称</formula1>
    </dataValidation>
    <dataValidation type="list" allowBlank="1" showInputMessage="1" showErrorMessage="1" sqref="C3" xr:uid="{E1E13356-4178-48E8-A846-601614D6BDB6}">
      <formula1>基本_入力責任者</formula1>
    </dataValidation>
    <dataValidation type="list" allowBlank="1" showInputMessage="1" showErrorMessage="1" sqref="C7" xr:uid="{8FBA7794-88BE-4E79-886D-D15070BB03CF}">
      <formula1>基本_その他の居室の有無</formula1>
    </dataValidation>
    <dataValidation type="list" allowBlank="1" showInputMessage="1" showErrorMessage="1" sqref="C8" xr:uid="{E7FA1D2F-C792-4353-BE40-E7E80732C970}">
      <formula1>基本_非居室の有無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C2B3-11A0-4F86-B998-EE8B946996B4}">
  <sheetPr codeName="Sheet02"/>
  <dimension ref="A1:E13"/>
  <sheetViews>
    <sheetView showGridLines="0" workbookViewId="0">
      <selection activeCell="C2" sqref="C2"/>
    </sheetView>
  </sheetViews>
  <sheetFormatPr defaultRowHeight="18.75" x14ac:dyDescent="0.4"/>
  <cols>
    <col min="1" max="1" width="7.25" style="53" bestFit="1" customWidth="1"/>
    <col min="2" max="2" width="48" style="53" bestFit="1" customWidth="1"/>
    <col min="3" max="3" width="66.25" style="55" bestFit="1" customWidth="1"/>
    <col min="4" max="4" width="23.625" style="53" bestFit="1" customWidth="1"/>
    <col min="5" max="5" width="34" style="53" bestFit="1" customWidth="1"/>
    <col min="6" max="16384" width="9" style="53"/>
  </cols>
  <sheetData>
    <row r="1" spans="1:5" ht="20.25" thickTop="1" thickBot="1" x14ac:dyDescent="0.45">
      <c r="A1" s="12" t="s">
        <v>223</v>
      </c>
      <c r="B1" s="13" t="s">
        <v>154</v>
      </c>
      <c r="C1" s="13" t="s">
        <v>137</v>
      </c>
      <c r="D1" s="13" t="s">
        <v>141</v>
      </c>
      <c r="E1" s="14"/>
    </row>
    <row r="2" spans="1:5" x14ac:dyDescent="0.4">
      <c r="A2" s="58" t="s">
        <v>238</v>
      </c>
      <c r="B2" s="59" t="s">
        <v>59</v>
      </c>
      <c r="C2" s="60" t="s">
        <v>66</v>
      </c>
      <c r="D2" s="61"/>
      <c r="E2" s="62"/>
    </row>
    <row r="3" spans="1:5" hidden="1" x14ac:dyDescent="0.4">
      <c r="A3" s="63" t="s">
        <v>257</v>
      </c>
      <c r="B3" s="64" t="s">
        <v>69</v>
      </c>
      <c r="C3" s="85" t="s">
        <v>285</v>
      </c>
      <c r="D3" s="65" t="s">
        <v>57</v>
      </c>
      <c r="E3" s="66" t="s">
        <v>90</v>
      </c>
    </row>
    <row r="4" spans="1:5" hidden="1" x14ac:dyDescent="0.4">
      <c r="A4" s="63" t="s">
        <v>258</v>
      </c>
      <c r="B4" s="64" t="s">
        <v>60</v>
      </c>
      <c r="C4" s="85" t="s">
        <v>281</v>
      </c>
      <c r="D4" s="65" t="s">
        <v>70</v>
      </c>
      <c r="E4" s="66" t="s">
        <v>82</v>
      </c>
    </row>
    <row r="5" spans="1:5" hidden="1" x14ac:dyDescent="0.4">
      <c r="A5" s="63" t="s">
        <v>259</v>
      </c>
      <c r="B5" s="64" t="s">
        <v>61</v>
      </c>
      <c r="C5" s="85" t="s">
        <v>287</v>
      </c>
      <c r="D5" s="65" t="s">
        <v>71</v>
      </c>
      <c r="E5" s="66" t="s">
        <v>84</v>
      </c>
    </row>
    <row r="6" spans="1:5" hidden="1" x14ac:dyDescent="0.4">
      <c r="A6" s="63" t="s">
        <v>260</v>
      </c>
      <c r="B6" s="64" t="s">
        <v>62</v>
      </c>
      <c r="C6" s="85" t="s">
        <v>291</v>
      </c>
      <c r="D6" s="65" t="s">
        <v>71</v>
      </c>
      <c r="E6" s="66" t="s">
        <v>83</v>
      </c>
    </row>
    <row r="7" spans="1:5" x14ac:dyDescent="0.4">
      <c r="A7" s="63" t="s">
        <v>261</v>
      </c>
      <c r="B7" s="64" t="s">
        <v>266</v>
      </c>
      <c r="C7" s="54" t="s">
        <v>72</v>
      </c>
      <c r="D7" s="65"/>
      <c r="E7" s="66" t="s">
        <v>89</v>
      </c>
    </row>
    <row r="8" spans="1:5" x14ac:dyDescent="0.4">
      <c r="A8" s="63" t="s">
        <v>262</v>
      </c>
      <c r="B8" s="64" t="s">
        <v>268</v>
      </c>
      <c r="C8" s="54" t="s">
        <v>72</v>
      </c>
      <c r="D8" s="65"/>
      <c r="E8" s="66"/>
    </row>
    <row r="9" spans="1:5" x14ac:dyDescent="0.4">
      <c r="A9" s="63" t="s">
        <v>263</v>
      </c>
      <c r="B9" s="64" t="s">
        <v>63</v>
      </c>
      <c r="C9" s="54" t="s">
        <v>72</v>
      </c>
      <c r="D9" s="65"/>
      <c r="E9" s="66" t="s">
        <v>88</v>
      </c>
    </row>
    <row r="10" spans="1:5" x14ac:dyDescent="0.4">
      <c r="A10" s="63" t="s">
        <v>264</v>
      </c>
      <c r="B10" s="64" t="s">
        <v>64</v>
      </c>
      <c r="C10" s="54" t="s">
        <v>75</v>
      </c>
      <c r="D10" s="65"/>
      <c r="E10" s="66" t="s">
        <v>85</v>
      </c>
    </row>
    <row r="11" spans="1:5" x14ac:dyDescent="0.4">
      <c r="A11" s="63" t="s">
        <v>265</v>
      </c>
      <c r="B11" s="64" t="s">
        <v>77</v>
      </c>
      <c r="C11" s="67">
        <v>10</v>
      </c>
      <c r="D11" s="65" t="s">
        <v>78</v>
      </c>
      <c r="E11" s="66" t="s">
        <v>86</v>
      </c>
    </row>
    <row r="12" spans="1:5" ht="19.5" thickBot="1" x14ac:dyDescent="0.45">
      <c r="A12" s="68" t="s">
        <v>267</v>
      </c>
      <c r="B12" s="69" t="s">
        <v>79</v>
      </c>
      <c r="C12" s="70" t="s">
        <v>81</v>
      </c>
      <c r="D12" s="71"/>
      <c r="E12" s="72" t="s">
        <v>87</v>
      </c>
    </row>
    <row r="13" spans="1:5" ht="19.5" thickTop="1" x14ac:dyDescent="0.4">
      <c r="A13" s="56"/>
      <c r="B13" s="56"/>
      <c r="C13" s="57"/>
      <c r="D13" s="56"/>
      <c r="E13" s="56"/>
    </row>
  </sheetData>
  <phoneticPr fontId="1"/>
  <dataValidations count="11">
    <dataValidation type="list" allowBlank="1" showInputMessage="1" showErrorMessage="1" sqref="C2" xr:uid="{D59A302C-12AD-413D-BDE0-05F0C324A1BD}">
      <formula1>外皮_外皮性能の評価方法</formula1>
    </dataValidation>
    <dataValidation type="list" allowBlank="1" showInputMessage="1" showErrorMessage="1" sqref="C7" xr:uid="{E59240FD-41E9-4FF2-B035-22797B5DEB00}">
      <formula1>外皮_通風の利用_主たる居室</formula1>
    </dataValidation>
    <dataValidation type="list" allowBlank="1" showInputMessage="1" showErrorMessage="1" sqref="C9" xr:uid="{98361152-89D6-481A-8642-5BE0A5888DC5}">
      <formula1>外皮_蓄熱の利用</formula1>
    </dataValidation>
    <dataValidation type="list" allowBlank="1" showInputMessage="1" showErrorMessage="1" sqref="C10" xr:uid="{BDF3688F-B7CC-44B1-914F-00F42A63ECAE}">
      <formula1>外皮_床下空間を経由して外気を導入する換気方式の利用</formula1>
    </dataValidation>
    <dataValidation type="list" allowBlank="1" showInputMessage="1" showErrorMessage="1" sqref="C12" xr:uid="{7C1DA7F2-B1DB-44A7-906F-8EEE466EA8B6}">
      <formula1>外皮_床下空間の断熱</formula1>
    </dataValidation>
    <dataValidation type="list" allowBlank="1" showInputMessage="1" showErrorMessage="1" sqref="C3" xr:uid="{61E46FDA-0D01-4B69-9076-FE107318AF0B}">
      <formula1>外皮_外皮面積の合計</formula1>
    </dataValidation>
    <dataValidation type="list" allowBlank="1" showInputMessage="1" showErrorMessage="1" sqref="C4" xr:uid="{585CB411-C0DB-4D3C-A3FC-E90AE4659740}">
      <formula1>外皮_外皮平均熱貫流率</formula1>
    </dataValidation>
    <dataValidation type="list" allowBlank="1" showInputMessage="1" showErrorMessage="1" sqref="C5" xr:uid="{47ED1F67-4E2B-48A8-97FC-09C09C631DBC}">
      <formula1>外皮_冷房期の平均日射熱取得率</formula1>
    </dataValidation>
    <dataValidation type="list" allowBlank="1" showInputMessage="1" showErrorMessage="1" sqref="C6" xr:uid="{586B170C-AA8F-491B-B5B2-0EC99B3BD2AE}">
      <formula1>外皮_暖房期の平均日射熱取得率</formula1>
    </dataValidation>
    <dataValidation type="list" allowBlank="1" showInputMessage="1" showErrorMessage="1" sqref="C11" xr:uid="{3925ABD4-BBCF-4FBF-A578-85DB38D05946}">
      <formula1>外皮_外気が経由する床下の面積の割合</formula1>
    </dataValidation>
    <dataValidation type="list" allowBlank="1" showInputMessage="1" showErrorMessage="1" sqref="C8" xr:uid="{90F315DF-CA71-4187-9203-1174F36A09CD}">
      <formula1>外皮_通風の利用_その他の居室</formula1>
    </dataValidation>
  </dataValidations>
  <pageMargins left="0.7" right="0.7" top="0.75" bottom="0.75" header="0.3" footer="0.3"/>
  <ignoredErrors>
    <ignoredError sqref="C3:C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40E-59E2-4DBD-83E0-00D021A9601F}">
  <sheetPr codeName="Sheet03"/>
  <dimension ref="A1:E58"/>
  <sheetViews>
    <sheetView workbookViewId="0"/>
  </sheetViews>
  <sheetFormatPr defaultRowHeight="18.75" x14ac:dyDescent="0.4"/>
  <cols>
    <col min="1" max="1" width="7.25" bestFit="1" customWidth="1"/>
    <col min="2" max="2" width="45.375" bestFit="1" customWidth="1"/>
    <col min="3" max="3" width="58.125" bestFit="1" customWidth="1"/>
    <col min="4" max="4" width="19.375" bestFit="1" customWidth="1"/>
  </cols>
  <sheetData>
    <row r="1" spans="1:5" ht="20.25" thickTop="1" thickBot="1" x14ac:dyDescent="0.45">
      <c r="A1" s="12" t="s">
        <v>223</v>
      </c>
      <c r="B1" s="13" t="s">
        <v>154</v>
      </c>
      <c r="C1" s="13" t="s">
        <v>137</v>
      </c>
      <c r="D1" s="13" t="s">
        <v>141</v>
      </c>
      <c r="E1" s="14"/>
    </row>
    <row r="2" spans="1:5" x14ac:dyDescent="0.4">
      <c r="A2" s="110" t="s">
        <v>294</v>
      </c>
      <c r="B2" s="114" t="s">
        <v>91</v>
      </c>
      <c r="C2" s="112" t="s">
        <v>92</v>
      </c>
      <c r="D2" s="111"/>
      <c r="E2" s="113"/>
    </row>
    <row r="3" spans="1:5" x14ac:dyDescent="0.4">
      <c r="A3" s="110" t="s">
        <v>295</v>
      </c>
      <c r="B3" s="114" t="s">
        <v>390</v>
      </c>
      <c r="C3" s="112" t="s">
        <v>95</v>
      </c>
      <c r="D3" s="111"/>
      <c r="E3" s="113"/>
    </row>
    <row r="4" spans="1:5" x14ac:dyDescent="0.4">
      <c r="A4" s="110" t="s">
        <v>296</v>
      </c>
      <c r="B4" s="114" t="s">
        <v>391</v>
      </c>
      <c r="C4" s="112" t="s">
        <v>97</v>
      </c>
      <c r="D4" s="111"/>
      <c r="E4" s="113"/>
    </row>
    <row r="5" spans="1:5" x14ac:dyDescent="0.4">
      <c r="A5" s="110" t="s">
        <v>297</v>
      </c>
      <c r="B5" s="114" t="s">
        <v>392</v>
      </c>
      <c r="C5" s="112" t="s">
        <v>339</v>
      </c>
      <c r="D5" s="111"/>
      <c r="E5" s="113"/>
    </row>
    <row r="6" spans="1:5" x14ac:dyDescent="0.4">
      <c r="A6" s="110" t="s">
        <v>298</v>
      </c>
      <c r="B6" s="114" t="s">
        <v>393</v>
      </c>
      <c r="C6" s="112" t="s">
        <v>321</v>
      </c>
      <c r="D6" s="111" t="s">
        <v>78</v>
      </c>
      <c r="E6" s="113"/>
    </row>
    <row r="7" spans="1:5" x14ac:dyDescent="0.4">
      <c r="A7" s="110" t="s">
        <v>299</v>
      </c>
      <c r="B7" s="114" t="s">
        <v>394</v>
      </c>
      <c r="C7" s="112" t="s">
        <v>324</v>
      </c>
      <c r="D7" s="111"/>
      <c r="E7" s="113"/>
    </row>
    <row r="8" spans="1:5" x14ac:dyDescent="0.4">
      <c r="A8" s="110" t="s">
        <v>300</v>
      </c>
      <c r="B8" s="114" t="s">
        <v>395</v>
      </c>
      <c r="C8" s="112" t="s">
        <v>97</v>
      </c>
      <c r="D8" s="111"/>
      <c r="E8" s="113"/>
    </row>
    <row r="9" spans="1:5" x14ac:dyDescent="0.4">
      <c r="A9" s="110" t="s">
        <v>301</v>
      </c>
      <c r="B9" s="114" t="s">
        <v>396</v>
      </c>
      <c r="C9" s="2" t="s">
        <v>327</v>
      </c>
      <c r="D9" s="111" t="s">
        <v>131</v>
      </c>
      <c r="E9" s="113"/>
    </row>
    <row r="10" spans="1:5" x14ac:dyDescent="0.4">
      <c r="A10" s="110" t="s">
        <v>302</v>
      </c>
      <c r="B10" s="114" t="s">
        <v>397</v>
      </c>
      <c r="C10" s="2" t="s">
        <v>97</v>
      </c>
      <c r="D10" s="111" t="s">
        <v>132</v>
      </c>
      <c r="E10" s="113"/>
    </row>
    <row r="11" spans="1:5" x14ac:dyDescent="0.4">
      <c r="A11" s="110" t="s">
        <v>303</v>
      </c>
      <c r="B11" s="114" t="s">
        <v>398</v>
      </c>
      <c r="C11" s="3" t="s">
        <v>341</v>
      </c>
      <c r="D11" s="111" t="s">
        <v>133</v>
      </c>
      <c r="E11" s="113"/>
    </row>
    <row r="12" spans="1:5" x14ac:dyDescent="0.4">
      <c r="A12" s="110" t="s">
        <v>304</v>
      </c>
      <c r="B12" s="114" t="s">
        <v>428</v>
      </c>
      <c r="C12" s="3" t="s">
        <v>277</v>
      </c>
      <c r="D12" s="111" t="s">
        <v>134</v>
      </c>
      <c r="E12" s="113"/>
    </row>
    <row r="13" spans="1:5" x14ac:dyDescent="0.4">
      <c r="A13" s="110" t="s">
        <v>305</v>
      </c>
      <c r="B13" s="114" t="s">
        <v>399</v>
      </c>
      <c r="C13" s="112" t="s">
        <v>99</v>
      </c>
      <c r="D13" s="111" t="s">
        <v>135</v>
      </c>
      <c r="E13" s="113"/>
    </row>
    <row r="14" spans="1:5" x14ac:dyDescent="0.4">
      <c r="A14" s="110" t="s">
        <v>306</v>
      </c>
      <c r="B14" s="114" t="s">
        <v>400</v>
      </c>
      <c r="C14" s="112" t="s">
        <v>114</v>
      </c>
      <c r="D14" s="111"/>
      <c r="E14" s="113"/>
    </row>
    <row r="15" spans="1:5" x14ac:dyDescent="0.4">
      <c r="A15" s="110" t="s">
        <v>307</v>
      </c>
      <c r="B15" s="114" t="s">
        <v>401</v>
      </c>
      <c r="C15" s="112">
        <v>12.5</v>
      </c>
      <c r="D15" s="111"/>
      <c r="E15" s="113"/>
    </row>
    <row r="16" spans="1:5" x14ac:dyDescent="0.4">
      <c r="A16" s="110" t="s">
        <v>308</v>
      </c>
      <c r="B16" s="114" t="s">
        <v>402</v>
      </c>
      <c r="C16" s="112">
        <v>63.7</v>
      </c>
      <c r="D16" s="111" t="s">
        <v>78</v>
      </c>
      <c r="E16" s="113"/>
    </row>
    <row r="17" spans="1:5" x14ac:dyDescent="0.4">
      <c r="A17" s="110" t="s">
        <v>309</v>
      </c>
      <c r="B17" s="114" t="s">
        <v>403</v>
      </c>
      <c r="C17" s="112">
        <v>155</v>
      </c>
      <c r="D17" s="111"/>
      <c r="E17" s="113"/>
    </row>
    <row r="18" spans="1:5" x14ac:dyDescent="0.4">
      <c r="A18" s="110" t="s">
        <v>310</v>
      </c>
      <c r="B18" s="114" t="s">
        <v>404</v>
      </c>
      <c r="C18" s="112">
        <v>134</v>
      </c>
      <c r="D18" s="111"/>
      <c r="E18" s="113"/>
    </row>
    <row r="19" spans="1:5" x14ac:dyDescent="0.4">
      <c r="A19" s="110" t="s">
        <v>311</v>
      </c>
      <c r="B19" s="114" t="s">
        <v>405</v>
      </c>
      <c r="C19" s="112" t="s">
        <v>377</v>
      </c>
      <c r="D19" s="111"/>
      <c r="E19" s="113"/>
    </row>
    <row r="20" spans="1:5" x14ac:dyDescent="0.4">
      <c r="A20" s="110" t="s">
        <v>312</v>
      </c>
      <c r="B20" s="114" t="s">
        <v>406</v>
      </c>
      <c r="C20" s="112" t="s">
        <v>95</v>
      </c>
      <c r="D20" s="111"/>
      <c r="E20" s="113"/>
    </row>
    <row r="21" spans="1:5" x14ac:dyDescent="0.4">
      <c r="A21" s="110" t="s">
        <v>313</v>
      </c>
      <c r="B21" s="114" t="s">
        <v>407</v>
      </c>
      <c r="C21" s="112" t="s">
        <v>97</v>
      </c>
      <c r="D21" s="111"/>
      <c r="E21" s="113"/>
    </row>
    <row r="22" spans="1:5" x14ac:dyDescent="0.4">
      <c r="A22" s="110" t="s">
        <v>314</v>
      </c>
      <c r="B22" s="114" t="s">
        <v>408</v>
      </c>
      <c r="C22" s="112" t="s">
        <v>339</v>
      </c>
      <c r="D22" s="111"/>
      <c r="E22" s="113"/>
    </row>
    <row r="23" spans="1:5" x14ac:dyDescent="0.4">
      <c r="A23" s="110" t="s">
        <v>315</v>
      </c>
      <c r="B23" s="114" t="s">
        <v>409</v>
      </c>
      <c r="C23" s="112" t="s">
        <v>321</v>
      </c>
      <c r="D23" s="111"/>
      <c r="E23" s="113"/>
    </row>
    <row r="24" spans="1:5" x14ac:dyDescent="0.4">
      <c r="A24" s="110" t="s">
        <v>316</v>
      </c>
      <c r="B24" s="114" t="s">
        <v>410</v>
      </c>
      <c r="C24" s="112" t="s">
        <v>324</v>
      </c>
      <c r="D24" s="111"/>
      <c r="E24" s="113"/>
    </row>
    <row r="25" spans="1:5" x14ac:dyDescent="0.4">
      <c r="A25" s="110" t="s">
        <v>317</v>
      </c>
      <c r="B25" s="114" t="s">
        <v>411</v>
      </c>
      <c r="C25" s="112" t="s">
        <v>97</v>
      </c>
      <c r="D25" s="111"/>
      <c r="E25" s="113"/>
    </row>
    <row r="26" spans="1:5" x14ac:dyDescent="0.4">
      <c r="A26" s="110" t="s">
        <v>318</v>
      </c>
      <c r="B26" s="114" t="s">
        <v>412</v>
      </c>
      <c r="C26" s="112" t="s">
        <v>327</v>
      </c>
      <c r="D26" s="111"/>
      <c r="E26" s="113"/>
    </row>
    <row r="27" spans="1:5" x14ac:dyDescent="0.4">
      <c r="A27" s="110" t="s">
        <v>432</v>
      </c>
      <c r="B27" s="114" t="s">
        <v>430</v>
      </c>
      <c r="C27" s="112" t="s">
        <v>277</v>
      </c>
      <c r="D27" s="111"/>
      <c r="E27" s="113"/>
    </row>
    <row r="28" spans="1:5" x14ac:dyDescent="0.4">
      <c r="A28" s="110" t="s">
        <v>433</v>
      </c>
      <c r="B28" s="114" t="s">
        <v>413</v>
      </c>
      <c r="C28" s="112" t="s">
        <v>99</v>
      </c>
      <c r="D28" s="111"/>
      <c r="E28" s="113"/>
    </row>
    <row r="29" spans="1:5" x14ac:dyDescent="0.4">
      <c r="A29" s="110" t="s">
        <v>434</v>
      </c>
      <c r="B29" s="114" t="s">
        <v>414</v>
      </c>
      <c r="C29" s="112" t="s">
        <v>114</v>
      </c>
      <c r="D29" s="111"/>
      <c r="E29" s="113"/>
    </row>
    <row r="30" spans="1:5" x14ac:dyDescent="0.4">
      <c r="A30" s="110" t="s">
        <v>435</v>
      </c>
      <c r="B30" s="114" t="s">
        <v>415</v>
      </c>
      <c r="C30" s="112">
        <v>12.5</v>
      </c>
      <c r="D30" s="111"/>
      <c r="E30" s="113"/>
    </row>
    <row r="31" spans="1:5" x14ac:dyDescent="0.4">
      <c r="A31" s="110" t="s">
        <v>436</v>
      </c>
      <c r="B31" s="114" t="s">
        <v>416</v>
      </c>
      <c r="C31" s="112">
        <v>63.7</v>
      </c>
      <c r="D31" s="111"/>
      <c r="E31" s="113"/>
    </row>
    <row r="32" spans="1:5" x14ac:dyDescent="0.4">
      <c r="A32" s="110" t="s">
        <v>437</v>
      </c>
      <c r="B32" s="114" t="s">
        <v>417</v>
      </c>
      <c r="C32" s="112">
        <v>155</v>
      </c>
      <c r="D32" s="111"/>
      <c r="E32" s="113"/>
    </row>
    <row r="33" spans="1:5" x14ac:dyDescent="0.4">
      <c r="A33" s="110" t="s">
        <v>438</v>
      </c>
      <c r="B33" s="114" t="s">
        <v>418</v>
      </c>
      <c r="C33" s="112">
        <v>134</v>
      </c>
      <c r="D33" s="111"/>
      <c r="E33" s="113"/>
    </row>
    <row r="34" spans="1:5" x14ac:dyDescent="0.4">
      <c r="A34" s="110" t="s">
        <v>439</v>
      </c>
      <c r="B34" s="114" t="s">
        <v>419</v>
      </c>
      <c r="C34" s="112" t="s">
        <v>377</v>
      </c>
      <c r="D34" s="111"/>
      <c r="E34" s="113"/>
    </row>
    <row r="35" spans="1:5" x14ac:dyDescent="0.4">
      <c r="A35" s="110" t="s">
        <v>440</v>
      </c>
      <c r="B35" s="114" t="s">
        <v>100</v>
      </c>
      <c r="C35" s="112" t="s">
        <v>101</v>
      </c>
      <c r="D35" s="111"/>
      <c r="E35" s="113"/>
    </row>
    <row r="36" spans="1:5" x14ac:dyDescent="0.4">
      <c r="A36" s="110" t="s">
        <v>441</v>
      </c>
      <c r="B36" s="114" t="s">
        <v>112</v>
      </c>
      <c r="C36" s="112" t="s">
        <v>97</v>
      </c>
      <c r="D36" s="111"/>
      <c r="E36" s="113"/>
    </row>
    <row r="37" spans="1:5" x14ac:dyDescent="0.4">
      <c r="A37" s="110" t="s">
        <v>442</v>
      </c>
      <c r="B37" s="114" t="s">
        <v>326</v>
      </c>
      <c r="C37" s="112" t="s">
        <v>378</v>
      </c>
      <c r="D37" s="111"/>
      <c r="E37" s="113"/>
    </row>
    <row r="38" spans="1:5" x14ac:dyDescent="0.4">
      <c r="A38" s="110" t="s">
        <v>443</v>
      </c>
      <c r="B38" s="114" t="s">
        <v>373</v>
      </c>
      <c r="C38" s="112" t="s">
        <v>97</v>
      </c>
      <c r="D38" s="111"/>
      <c r="E38" s="113"/>
    </row>
    <row r="39" spans="1:5" x14ac:dyDescent="0.4">
      <c r="A39" s="110" t="s">
        <v>444</v>
      </c>
      <c r="B39" s="114" t="s">
        <v>374</v>
      </c>
      <c r="C39" s="112">
        <v>1</v>
      </c>
      <c r="D39" s="111"/>
      <c r="E39" s="113"/>
    </row>
    <row r="40" spans="1:5" x14ac:dyDescent="0.4">
      <c r="A40" s="110" t="s">
        <v>445</v>
      </c>
      <c r="B40" s="114" t="s">
        <v>375</v>
      </c>
      <c r="C40" s="112" t="s">
        <v>376</v>
      </c>
      <c r="D40" s="111"/>
      <c r="E40" s="113"/>
    </row>
    <row r="41" spans="1:5" x14ac:dyDescent="0.4">
      <c r="A41" s="110" t="s">
        <v>446</v>
      </c>
      <c r="B41" s="114" t="s">
        <v>113</v>
      </c>
      <c r="C41" s="112" t="s">
        <v>114</v>
      </c>
      <c r="D41" s="111"/>
      <c r="E41" s="113"/>
    </row>
    <row r="42" spans="1:5" x14ac:dyDescent="0.4">
      <c r="A42" s="110" t="s">
        <v>447</v>
      </c>
      <c r="B42" s="114" t="s">
        <v>116</v>
      </c>
      <c r="C42" s="112" t="s">
        <v>117</v>
      </c>
      <c r="D42" s="111"/>
      <c r="E42" s="113"/>
    </row>
    <row r="43" spans="1:5" hidden="1" x14ac:dyDescent="0.4">
      <c r="A43" s="110" t="s">
        <v>448</v>
      </c>
      <c r="B43" s="114" t="s">
        <v>119</v>
      </c>
      <c r="C43" s="112" t="s">
        <v>120</v>
      </c>
      <c r="D43" s="111"/>
      <c r="E43" s="113"/>
    </row>
    <row r="44" spans="1:5" hidden="1" x14ac:dyDescent="0.4">
      <c r="A44" s="110" t="s">
        <v>449</v>
      </c>
      <c r="B44" s="114" t="s">
        <v>121</v>
      </c>
      <c r="C44" s="112" t="s">
        <v>117</v>
      </c>
      <c r="D44" s="111"/>
      <c r="E44" s="113"/>
    </row>
    <row r="45" spans="1:5" hidden="1" x14ac:dyDescent="0.4">
      <c r="A45" s="110" t="s">
        <v>450</v>
      </c>
      <c r="B45" s="114" t="s">
        <v>122</v>
      </c>
      <c r="C45" s="112" t="s">
        <v>123</v>
      </c>
      <c r="D45" s="111"/>
      <c r="E45" s="113"/>
    </row>
    <row r="46" spans="1:5" hidden="1" x14ac:dyDescent="0.4">
      <c r="A46" s="110" t="s">
        <v>451</v>
      </c>
      <c r="B46" s="114" t="s">
        <v>124</v>
      </c>
      <c r="C46" s="112" t="s">
        <v>125</v>
      </c>
      <c r="D46" s="111"/>
      <c r="E46" s="113"/>
    </row>
    <row r="47" spans="1:5" hidden="1" x14ac:dyDescent="0.4">
      <c r="A47" s="110" t="s">
        <v>452</v>
      </c>
      <c r="B47" s="114" t="s">
        <v>127</v>
      </c>
      <c r="C47" s="112" t="s">
        <v>97</v>
      </c>
      <c r="D47" s="111"/>
      <c r="E47" s="113"/>
    </row>
    <row r="48" spans="1:5" x14ac:dyDescent="0.4">
      <c r="A48" s="110" t="s">
        <v>453</v>
      </c>
      <c r="B48" s="114" t="s">
        <v>420</v>
      </c>
      <c r="C48" s="112">
        <v>99</v>
      </c>
      <c r="D48" s="111" t="s">
        <v>134</v>
      </c>
      <c r="E48" s="113"/>
    </row>
    <row r="49" spans="1:5" x14ac:dyDescent="0.4">
      <c r="A49" s="110" t="s">
        <v>454</v>
      </c>
      <c r="B49" s="114" t="s">
        <v>421</v>
      </c>
      <c r="C49" s="112">
        <v>99</v>
      </c>
      <c r="D49" s="111" t="s">
        <v>134</v>
      </c>
      <c r="E49" s="113"/>
    </row>
    <row r="50" spans="1:5" x14ac:dyDescent="0.4">
      <c r="A50" s="110" t="s">
        <v>455</v>
      </c>
      <c r="B50" s="114" t="s">
        <v>422</v>
      </c>
      <c r="C50" s="112">
        <v>99</v>
      </c>
      <c r="D50" s="111" t="s">
        <v>388</v>
      </c>
      <c r="E50" s="113"/>
    </row>
    <row r="51" spans="1:5" x14ac:dyDescent="0.4">
      <c r="A51" s="110" t="s">
        <v>456</v>
      </c>
      <c r="B51" s="114" t="s">
        <v>423</v>
      </c>
      <c r="C51" s="112">
        <v>99</v>
      </c>
      <c r="D51" s="111" t="s">
        <v>134</v>
      </c>
      <c r="E51" s="113"/>
    </row>
    <row r="52" spans="1:5" x14ac:dyDescent="0.4">
      <c r="A52" s="110" t="s">
        <v>457</v>
      </c>
      <c r="B52" s="114" t="s">
        <v>424</v>
      </c>
      <c r="C52" s="112">
        <v>99</v>
      </c>
      <c r="D52" s="111" t="s">
        <v>134</v>
      </c>
      <c r="E52" s="113"/>
    </row>
    <row r="53" spans="1:5" x14ac:dyDescent="0.4">
      <c r="A53" s="110" t="s">
        <v>458</v>
      </c>
      <c r="B53" s="114" t="s">
        <v>425</v>
      </c>
      <c r="C53" s="112">
        <v>99</v>
      </c>
      <c r="D53" s="111" t="s">
        <v>134</v>
      </c>
      <c r="E53" s="113"/>
    </row>
    <row r="54" spans="1:5" x14ac:dyDescent="0.4">
      <c r="A54" s="110" t="s">
        <v>459</v>
      </c>
      <c r="B54" s="114" t="s">
        <v>426</v>
      </c>
      <c r="C54" s="112">
        <v>99</v>
      </c>
      <c r="D54" s="111" t="s">
        <v>388</v>
      </c>
      <c r="E54" s="113"/>
    </row>
    <row r="55" spans="1:5" x14ac:dyDescent="0.4">
      <c r="A55" s="110" t="s">
        <v>460</v>
      </c>
      <c r="B55" s="114" t="s">
        <v>427</v>
      </c>
      <c r="C55" s="112">
        <v>99</v>
      </c>
      <c r="D55" s="111" t="s">
        <v>134</v>
      </c>
      <c r="E55" s="113"/>
    </row>
    <row r="56" spans="1:5" hidden="1" x14ac:dyDescent="0.4">
      <c r="A56" s="110" t="s">
        <v>461</v>
      </c>
      <c r="B56" s="114" t="s">
        <v>130</v>
      </c>
      <c r="C56" s="112" t="s">
        <v>97</v>
      </c>
      <c r="D56" s="111"/>
      <c r="E56" s="113"/>
    </row>
    <row r="57" spans="1:5" ht="19.5" thickBot="1" x14ac:dyDescent="0.45">
      <c r="A57" s="110" t="s">
        <v>462</v>
      </c>
      <c r="B57" s="114" t="s">
        <v>389</v>
      </c>
      <c r="C57" s="112">
        <v>99</v>
      </c>
      <c r="D57" s="111"/>
      <c r="E57" s="113"/>
    </row>
    <row r="58" spans="1:5" ht="19.5" thickTop="1" x14ac:dyDescent="0.4">
      <c r="A58" s="19"/>
      <c r="B58" s="19"/>
      <c r="C58" s="19"/>
      <c r="D58" s="19"/>
      <c r="E58" s="19"/>
    </row>
  </sheetData>
  <phoneticPr fontId="1"/>
  <dataValidations count="56">
    <dataValidation type="list" allowBlank="1" showInputMessage="1" showErrorMessage="1" sqref="C2" xr:uid="{6DDD0D2E-9EF3-41CE-B4C9-F5AEAB232F0B}">
      <formula1>暖房_暖房方式</formula1>
    </dataValidation>
    <dataValidation type="list" allowBlank="1" showInputMessage="1" showErrorMessage="1" sqref="C3" xr:uid="{0CFE12A6-AF50-4DB3-92F9-0AC37FB95052}">
      <formula1>暖房_暖房設備機器または放熱器の種類_主たる居室</formula1>
    </dataValidation>
    <dataValidation type="list" allowBlank="1" showInputMessage="1" showErrorMessage="1" sqref="C4" xr:uid="{C05A318D-4353-4F2E-88D2-FA3D1D3F2236}">
      <formula1>暖房_エネルギー消費効率の入力_主たる居室</formula1>
    </dataValidation>
    <dataValidation type="list" allowBlank="1" showInputMessage="1" showErrorMessage="1" sqref="C5" xr:uid="{DC98D0EC-35A1-4D56-9ACF-F02C5C8A8BE8}">
      <formula1>暖房_定格能力におけるエネルギー消費効率_主たる居室</formula1>
    </dataValidation>
    <dataValidation type="list" allowBlank="1" showInputMessage="1" showErrorMessage="1" sqref="C6" xr:uid="{49C65DAB-B74D-4F55-9BA0-566AB58CABF5}">
      <formula1>暖房_エネルギー消費効率の区分_主たる居室</formula1>
    </dataValidation>
    <dataValidation type="list" allowBlank="1" showInputMessage="1" showErrorMessage="1" sqref="C7" xr:uid="{56BB08C4-3E02-4377-896C-75AC38C76D7D}">
      <formula1>暖房_小能力時高効率型コンプレッサー_主たる居室</formula1>
    </dataValidation>
    <dataValidation type="list" allowBlank="1" showInputMessage="1" showErrorMessage="1" sqref="C8" xr:uid="{90C21F50-60A3-41CF-8F53-360E91DC7891}">
      <formula1>暖房_敷設率の入力_主たる居室</formula1>
    </dataValidation>
    <dataValidation type="list" allowBlank="1" showInputMessage="1" showErrorMessage="1" sqref="C9" xr:uid="{4C088AFA-75C0-4EBC-BBE5-8F4776028ECA}">
      <formula1>暖房_敷設率_主たる居室</formula1>
    </dataValidation>
    <dataValidation type="list" allowBlank="1" showInputMessage="1" showErrorMessage="1" sqref="C10" xr:uid="{4B1FB9A7-CF24-4298-869F-FAA4B74E0049}">
      <formula1>暖房_仮想床の床面積を除いた敷設率の入力_主たる居室</formula1>
    </dataValidation>
    <dataValidation type="list" allowBlank="1" showInputMessage="1" showErrorMessage="1" sqref="C11" xr:uid="{10DE5C6A-097A-4487-B8C8-0554E7E59DCB}">
      <formula1>暖房_仮想床の床面積を除いた敷設率_主たる居室</formula1>
    </dataValidation>
    <dataValidation type="list" allowBlank="1" showInputMessage="1" showErrorMessage="1" sqref="C12" xr:uid="{B717268F-7E5C-4FA7-92B3-6D4A0E5BCA2C}">
      <formula1>暖房_上面放熱率_床の断熱_主たる居室</formula1>
    </dataValidation>
    <dataValidation type="list" allowBlank="1" showInputMessage="1" showErrorMessage="1" sqref="C13" xr:uid="{2D10D4C0-379A-464B-B619-14522CA2060A}">
      <formula1>暖房_低出力モード_主たる居室</formula1>
    </dataValidation>
    <dataValidation type="list" allowBlank="1" showInputMessage="1" showErrorMessage="1" sqref="C14" xr:uid="{FA041C4A-2B17-42C4-B88A-C570D38D5123}">
      <formula1>暖房_断熱配管_主たる居室</formula1>
    </dataValidation>
    <dataValidation type="list" allowBlank="1" showInputMessage="1" showErrorMessage="1" sqref="C15" xr:uid="{9F796232-635E-46DA-BBE2-BD5358917E50}">
      <formula1>暖房_熱出力_主たる居室</formula1>
    </dataValidation>
    <dataValidation type="list" allowBlank="1" showInputMessage="1" showErrorMessage="1" sqref="C16" xr:uid="{3EC4B131-404F-4F3E-857A-F9D1A9233AAA}">
      <formula1>暖房_熱効率_主たる居室</formula1>
    </dataValidation>
    <dataValidation type="list" allowBlank="1" showInputMessage="1" showErrorMessage="1" sqref="C17" xr:uid="{0BF59EAE-DAD1-4367-8F70-BE794025AEAA}">
      <formula1>暖房_点火時消費電力量_主たる居室</formula1>
    </dataValidation>
    <dataValidation type="list" allowBlank="1" showInputMessage="1" showErrorMessage="1" sqref="C18" xr:uid="{7758452D-A5BB-4B60-ADD7-A28847DDC38C}">
      <formula1>暖房_定常時消費電力_主たる居室</formula1>
    </dataValidation>
    <dataValidation type="list" allowBlank="1" showInputMessage="1" showErrorMessage="1" sqref="C19" xr:uid="{C15CAA0D-57AA-4C6C-BB26-5C1FEA499DEA}">
      <formula1>暖房_その他の暖房設備機器の名称_主たる居室</formula1>
    </dataValidation>
    <dataValidation type="list" allowBlank="1" showInputMessage="1" showErrorMessage="1" sqref="C20" xr:uid="{07A9F376-78F6-4303-AE54-33E344A8A061}">
      <formula1>暖房_暖房設備機器または放熱器の種類_その他の居室</formula1>
    </dataValidation>
    <dataValidation type="list" allowBlank="1" showInputMessage="1" showErrorMessage="1" sqref="C21" xr:uid="{21D3E22B-67F0-4619-AC93-5325C2B6A12F}">
      <formula1>暖房_エネルギー消費効率の入力_その他の居室</formula1>
    </dataValidation>
    <dataValidation type="list" allowBlank="1" showInputMessage="1" showErrorMessage="1" sqref="C22" xr:uid="{12E7E9F8-AC60-4284-961E-F6BC0A6EE506}">
      <formula1>暖房_定格能力におけるエネルギー消費効率_その他の居室</formula1>
    </dataValidation>
    <dataValidation type="list" allowBlank="1" showInputMessage="1" showErrorMessage="1" sqref="C23" xr:uid="{1D92A75E-A6B9-4FEA-BA67-CFC73FCD0614}">
      <formula1>暖房_エネルギー消費効率の区分_その他の居室</formula1>
    </dataValidation>
    <dataValidation type="list" allowBlank="1" showInputMessage="1" showErrorMessage="1" sqref="C24" xr:uid="{7238E37D-D283-4C74-A8D0-5AC2027BD720}">
      <formula1>暖房_小能力時高効率型コンプレッサー_その他の居室</formula1>
    </dataValidation>
    <dataValidation type="list" allowBlank="1" showInputMessage="1" showErrorMessage="1" sqref="C25" xr:uid="{B378384F-E23B-42F2-A525-6D54979AC910}">
      <formula1>暖房_敷設率の入力_その他の居室</formula1>
    </dataValidation>
    <dataValidation type="list" allowBlank="1" showInputMessage="1" showErrorMessage="1" sqref="C26" xr:uid="{FB6D2BAE-4267-4071-98E6-D6F32A9625C0}">
      <formula1>暖房_敷設率_その他の居室</formula1>
    </dataValidation>
    <dataValidation type="list" allowBlank="1" showInputMessage="1" showErrorMessage="1" sqref="C27" xr:uid="{2E7D87E8-1B1D-46E0-9937-069E3B425E14}">
      <formula1>暖房_上面放熱率_床の断熱_その他の居室</formula1>
    </dataValidation>
    <dataValidation type="list" allowBlank="1" showInputMessage="1" showErrorMessage="1" sqref="C28" xr:uid="{2EFA5162-8BB7-4216-9C4A-57BC3BF0E048}">
      <formula1>暖房_低出力モード_その他の居室</formula1>
    </dataValidation>
    <dataValidation type="list" allowBlank="1" showInputMessage="1" showErrorMessage="1" sqref="C29" xr:uid="{131DEC01-AA43-4517-9CE0-127984BC5235}">
      <formula1>暖房_断熱配管_その他の居室</formula1>
    </dataValidation>
    <dataValidation type="list" allowBlank="1" showInputMessage="1" showErrorMessage="1" sqref="C30" xr:uid="{7978D360-CFA0-47F0-8E4F-B4D74B3BDFF1}">
      <formula1>暖房_熱出力_その他の居室</formula1>
    </dataValidation>
    <dataValidation type="list" allowBlank="1" showInputMessage="1" showErrorMessage="1" sqref="C31" xr:uid="{159790D9-ECD6-4C3A-A5DF-EC4BAAB276C5}">
      <formula1>暖房_熱効率_その他の居室</formula1>
    </dataValidation>
    <dataValidation type="list" allowBlank="1" showInputMessage="1" showErrorMessage="1" sqref="C32" xr:uid="{3C0DDC5C-E9BC-4189-AA2E-659C6E406FCB}">
      <formula1>暖房_点火時消費電力量_その他の居室</formula1>
    </dataValidation>
    <dataValidation type="list" allowBlank="1" showInputMessage="1" showErrorMessage="1" sqref="C33" xr:uid="{4895E2C0-73DB-41EF-A304-725AE054D3F2}">
      <formula1>暖房_定常時消費電力_その他の居室</formula1>
    </dataValidation>
    <dataValidation type="list" allowBlank="1" showInputMessage="1" showErrorMessage="1" sqref="C34" xr:uid="{F4FDCE5C-85D2-4A6D-9FEB-8F66AF46DA16}">
      <formula1>暖房_その他の暖房設備機器の名称_その他の居室</formula1>
    </dataValidation>
    <dataValidation type="list" allowBlank="1" showInputMessage="1" showErrorMessage="1" sqref="C35" xr:uid="{CD896E00-AE2E-4635-8D75-4F0AEF021509}">
      <formula1>暖房_温水暖房機の種類</formula1>
    </dataValidation>
    <dataValidation type="list" allowBlank="1" showInputMessage="1" showErrorMessage="1" sqref="C36" xr:uid="{1E58D887-68E4-4913-BE34-2F39F1C0141E}">
      <formula1>暖房_エネルギー消費効率の入力</formula1>
    </dataValidation>
    <dataValidation type="list" allowBlank="1" showInputMessage="1" showErrorMessage="1" sqref="C37" xr:uid="{57CD3D94-7183-43CD-9AEE-50FB1A0A50A6}">
      <formula1>暖房_定格能力におけるエネルギー消費効率</formula1>
    </dataValidation>
    <dataValidation type="list" allowBlank="1" showInputMessage="1" showErrorMessage="1" sqref="C38" xr:uid="{B40C6ABC-309E-4567-9ACD-F9D4A64C721F}">
      <formula1>暖房_熱交換器タイプの入力</formula1>
    </dataValidation>
    <dataValidation type="list" allowBlank="1" showInputMessage="1" showErrorMessage="1" sqref="C39" xr:uid="{4693494C-7A48-4720-BC33-E2007867404C}">
      <formula1>暖房_熱交換器タイプ</formula1>
    </dataValidation>
    <dataValidation type="list" allowBlank="1" showInputMessage="1" showErrorMessage="1" sqref="C40" xr:uid="{445F615A-F728-45B1-849F-473A341C4499}">
      <formula1>暖房_その他の温水暖房機の名称</formula1>
    </dataValidation>
    <dataValidation type="list" allowBlank="1" showInputMessage="1" showErrorMessage="1" sqref="C41" xr:uid="{BA7581D4-ACED-4EB7-BB76-273B4F69B472}">
      <formula1>暖房_断熱配管</formula1>
    </dataValidation>
    <dataValidation type="list" allowBlank="1" showInputMessage="1" showErrorMessage="1" sqref="C42" xr:uid="{092D16D1-16A1-4379-927B-2E309CBE67BD}">
      <formula1>暖房_配管が通過する空間</formula1>
    </dataValidation>
    <dataValidation type="list" allowBlank="1" showInputMessage="1" showErrorMessage="1" sqref="C43" xr:uid="{E6D837D5-BB92-4921-99AE-438D0A48455D}">
      <formula1>暖房_暖房設備機器の種類</formula1>
    </dataValidation>
    <dataValidation type="list" allowBlank="1" showInputMessage="1" showErrorMessage="1" sqref="C44" xr:uid="{67F3DD1D-6654-4EEB-8E52-F976CFA357FB}">
      <formula1>暖房_ダクトが通過する空間</formula1>
    </dataValidation>
    <dataValidation type="list" allowBlank="1" showInputMessage="1" showErrorMessage="1" sqref="C45" xr:uid="{F8F76E54-A930-4980-BF79-A974E77FF582}">
      <formula1>暖房_VAV方式</formula1>
    </dataValidation>
    <dataValidation type="list" allowBlank="1" showInputMessage="1" showErrorMessage="1" sqref="C46" xr:uid="{4467CC87-96C3-4F61-8610-A9A1C1C371D2}">
      <formula1>暖房_全般換気機能</formula1>
    </dataValidation>
    <dataValidation type="list" allowBlank="1" showInputMessage="1" showErrorMessage="1" sqref="C47" xr:uid="{3B074C74-F1EA-432B-BFAE-CF22245D2E52}">
      <formula1>暖房_機器の仕様の入力</formula1>
    </dataValidation>
    <dataValidation type="list" allowBlank="1" showInputMessage="1" showErrorMessage="1" sqref="C48" xr:uid="{ADED5820-43A4-4218-B0EC-40CFA03E09E7}">
      <formula1>暖房_定格暖房能力試験_能力</formula1>
    </dataValidation>
    <dataValidation type="list" allowBlank="1" showInputMessage="1" showErrorMessage="1" sqref="C49" xr:uid="{4EC52A63-48C7-4920-8963-1E3978A6957E}">
      <formula1>暖房_定格暖房能力試験_消費電力</formula1>
    </dataValidation>
    <dataValidation type="list" allowBlank="1" showInputMessage="1" showErrorMessage="1" sqref="C50" xr:uid="{6F714E1A-5F7D-457D-8155-4EBA774828E5}">
      <formula1>暖房_定格暖房能力試験_風量</formula1>
    </dataValidation>
    <dataValidation type="list" allowBlank="1" showInputMessage="1" showErrorMessage="1" sqref="C51" xr:uid="{05348926-5642-4D9E-AC54-3F7E10EBC0CD}">
      <formula1>暖房_定格暖房能力試験_室内側送風機の消費電力</formula1>
    </dataValidation>
    <dataValidation type="list" allowBlank="1" showInputMessage="1" showErrorMessage="1" sqref="C52" xr:uid="{1F5C6546-96C4-494E-A9C7-BB3C08758C5C}">
      <formula1>暖房_中間暖房能力試験_能力</formula1>
    </dataValidation>
    <dataValidation type="list" allowBlank="1" showInputMessage="1" showErrorMessage="1" sqref="C53" xr:uid="{366EF53F-22CE-4B77-BEBB-C4FCCD6F9D43}">
      <formula1>暖房_中間暖房能力試験_消費電力</formula1>
    </dataValidation>
    <dataValidation type="list" allowBlank="1" showInputMessage="1" showErrorMessage="1" sqref="C54" xr:uid="{2503EC66-740C-40D4-8982-B68B3239563E}">
      <formula1>暖房_中間暖房能力試験_風量</formula1>
    </dataValidation>
    <dataValidation type="list" allowBlank="1" showInputMessage="1" showErrorMessage="1" sqref="C55" xr:uid="{E7C0AFBF-1DF9-4F90-976B-89A7C75E152B}">
      <formula1>暖房_中間暖房能力試験_室内側送風機の消費電力</formula1>
    </dataValidation>
    <dataValidation type="list" allowBlank="1" showInputMessage="1" showErrorMessage="1" sqref="C56" xr:uid="{A215B33B-3E3A-4EE1-B266-2883A89FAEBF}">
      <formula1>暖房_設計風量の入力</formula1>
    </dataValidation>
    <dataValidation type="list" allowBlank="1" showInputMessage="1" showErrorMessage="1" sqref="C57" xr:uid="{2B16FB62-1B8D-4C64-B46B-CF2B1C87AFDD}">
      <formula1>暖房_設計風量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EFE7-1615-433D-8EC1-48B1B32DCB45}">
  <sheetPr codeName="Sheet0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41AB-7251-42CF-8ABE-562A02381964}">
  <sheetPr codeName="Sheet0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131D-8C52-498D-B5F9-114BBA8C4EF9}">
  <sheetPr codeName="Sheet0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A1F-7BA4-4F55-9785-7FB3AE963ABC}">
  <sheetPr codeName="Sheet0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ADC4-B7CE-48EC-BF06-AC1F057E8143}">
  <sheetPr codeName="Sheet0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F51B-C9C4-4094-83AA-D04E9A738579}">
  <sheetPr codeName="Sheet0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1382-67C9-4CBE-A984-207E42BC036F}">
  <sheetPr codeName="Sheet1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973F-8102-434B-BB38-832F3B82B463}">
  <sheetPr codeName="Sheet1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7AC87-6B90-4D28-A557-78D16649D210}">
  <sheetPr codeName="Sheet29"/>
  <dimension ref="A2:E220"/>
  <sheetViews>
    <sheetView topLeftCell="A127" workbookViewId="0">
      <selection activeCell="D224" sqref="D224"/>
    </sheetView>
  </sheetViews>
  <sheetFormatPr defaultRowHeight="16.5" x14ac:dyDescent="0.4"/>
  <cols>
    <col min="1" max="1" width="9.25" style="36" bestFit="1" customWidth="1"/>
    <col min="2" max="2" width="8" style="47" customWidth="1"/>
    <col min="3" max="3" width="48.125" style="36" bestFit="1" customWidth="1"/>
    <col min="4" max="4" width="87" style="36" bestFit="1" customWidth="1"/>
    <col min="5" max="5" width="23.625" style="36" bestFit="1" customWidth="1"/>
    <col min="6" max="16384" width="9" style="36"/>
  </cols>
  <sheetData>
    <row r="2" spans="1:5" x14ac:dyDescent="0.4">
      <c r="A2" s="31" t="s">
        <v>158</v>
      </c>
      <c r="B2" s="32" t="s">
        <v>142</v>
      </c>
      <c r="C2" s="33" t="s">
        <v>145</v>
      </c>
      <c r="D2" s="34" t="s">
        <v>3</v>
      </c>
      <c r="E2" s="35"/>
    </row>
    <row r="3" spans="1:5" x14ac:dyDescent="0.4">
      <c r="A3" s="37" t="s">
        <v>158</v>
      </c>
      <c r="B3" s="38"/>
      <c r="C3" s="39" t="s">
        <v>146</v>
      </c>
      <c r="D3" s="40" t="s">
        <v>35</v>
      </c>
      <c r="E3" s="35"/>
    </row>
    <row r="4" spans="1:5" x14ac:dyDescent="0.4">
      <c r="A4" s="37" t="s">
        <v>158</v>
      </c>
      <c r="B4" s="38"/>
      <c r="C4" s="39" t="s">
        <v>144</v>
      </c>
      <c r="D4" s="40" t="s">
        <v>6</v>
      </c>
      <c r="E4" s="35"/>
    </row>
    <row r="5" spans="1:5" x14ac:dyDescent="0.4">
      <c r="A5" s="37" t="s">
        <v>158</v>
      </c>
      <c r="B5" s="41"/>
      <c r="C5" s="42"/>
      <c r="D5" s="43" t="s">
        <v>136</v>
      </c>
      <c r="E5" s="35"/>
    </row>
    <row r="6" spans="1:5" x14ac:dyDescent="0.4">
      <c r="A6" s="37" t="s">
        <v>158</v>
      </c>
      <c r="B6" s="38"/>
      <c r="C6" s="39" t="s">
        <v>148</v>
      </c>
      <c r="D6" s="40" t="s">
        <v>4</v>
      </c>
      <c r="E6" s="35"/>
    </row>
    <row r="7" spans="1:5" x14ac:dyDescent="0.4">
      <c r="A7" s="37" t="s">
        <v>158</v>
      </c>
      <c r="B7" s="41"/>
      <c r="C7" s="42"/>
      <c r="D7" s="43" t="s">
        <v>5</v>
      </c>
      <c r="E7" s="35"/>
    </row>
    <row r="8" spans="1:5" x14ac:dyDescent="0.4">
      <c r="A8" s="37" t="s">
        <v>158</v>
      </c>
      <c r="B8" s="38"/>
      <c r="C8" s="39" t="s">
        <v>149</v>
      </c>
      <c r="D8" s="40" t="s">
        <v>36</v>
      </c>
      <c r="E8" s="35"/>
    </row>
    <row r="9" spans="1:5" x14ac:dyDescent="0.4">
      <c r="A9" s="37" t="s">
        <v>158</v>
      </c>
      <c r="B9" s="41"/>
      <c r="C9" s="42"/>
      <c r="D9" s="43" t="s">
        <v>37</v>
      </c>
      <c r="E9" s="35"/>
    </row>
    <row r="10" spans="1:5" x14ac:dyDescent="0.4">
      <c r="A10" s="37" t="s">
        <v>158</v>
      </c>
      <c r="B10" s="35"/>
      <c r="C10" s="35" t="s">
        <v>176</v>
      </c>
      <c r="D10" s="40" t="s">
        <v>189</v>
      </c>
      <c r="E10" s="35"/>
    </row>
    <row r="11" spans="1:5" x14ac:dyDescent="0.4">
      <c r="A11" s="37" t="s">
        <v>158</v>
      </c>
      <c r="B11" s="35"/>
      <c r="C11" s="35"/>
      <c r="D11" s="40" t="s">
        <v>190</v>
      </c>
      <c r="E11" s="35"/>
    </row>
    <row r="12" spans="1:5" x14ac:dyDescent="0.4">
      <c r="A12" s="37" t="s">
        <v>158</v>
      </c>
      <c r="B12" s="35"/>
      <c r="C12" s="35" t="s">
        <v>177</v>
      </c>
      <c r="D12" s="40" t="s">
        <v>191</v>
      </c>
      <c r="E12" s="35"/>
    </row>
    <row r="13" spans="1:5" x14ac:dyDescent="0.4">
      <c r="A13" s="37" t="s">
        <v>158</v>
      </c>
      <c r="B13" s="35"/>
      <c r="C13" s="35"/>
      <c r="D13" s="40" t="s">
        <v>192</v>
      </c>
      <c r="E13" s="35"/>
    </row>
    <row r="14" spans="1:5" x14ac:dyDescent="0.4">
      <c r="A14" s="37" t="s">
        <v>158</v>
      </c>
      <c r="B14" s="38"/>
      <c r="C14" s="39" t="s">
        <v>150</v>
      </c>
      <c r="D14" s="40" t="s">
        <v>38</v>
      </c>
      <c r="E14" s="35"/>
    </row>
    <row r="15" spans="1:5" x14ac:dyDescent="0.4">
      <c r="A15" s="37" t="s">
        <v>158</v>
      </c>
      <c r="B15" s="38"/>
      <c r="C15" s="39"/>
      <c r="D15" s="40" t="s">
        <v>39</v>
      </c>
      <c r="E15" s="35"/>
    </row>
    <row r="16" spans="1:5" x14ac:dyDescent="0.4">
      <c r="A16" s="37" t="s">
        <v>158</v>
      </c>
      <c r="B16" s="41"/>
      <c r="C16" s="42"/>
      <c r="D16" s="43" t="s">
        <v>40</v>
      </c>
      <c r="E16" s="35"/>
    </row>
    <row r="17" spans="1:5" x14ac:dyDescent="0.4">
      <c r="A17" s="37" t="s">
        <v>158</v>
      </c>
      <c r="B17" s="38"/>
      <c r="C17" s="39" t="s">
        <v>153</v>
      </c>
      <c r="D17" s="40" t="s">
        <v>41</v>
      </c>
      <c r="E17" s="35"/>
    </row>
    <row r="18" spans="1:5" x14ac:dyDescent="0.4">
      <c r="A18" s="37" t="s">
        <v>158</v>
      </c>
      <c r="B18" s="38"/>
      <c r="C18" s="39"/>
      <c r="D18" s="40" t="s">
        <v>42</v>
      </c>
      <c r="E18" s="35"/>
    </row>
    <row r="19" spans="1:5" x14ac:dyDescent="0.4">
      <c r="A19" s="37" t="s">
        <v>158</v>
      </c>
      <c r="B19" s="38"/>
      <c r="C19" s="39"/>
      <c r="D19" s="40" t="s">
        <v>43</v>
      </c>
      <c r="E19" s="35"/>
    </row>
    <row r="20" spans="1:5" x14ac:dyDescent="0.4">
      <c r="A20" s="37" t="s">
        <v>158</v>
      </c>
      <c r="B20" s="38"/>
      <c r="C20" s="39"/>
      <c r="D20" s="40" t="s">
        <v>44</v>
      </c>
      <c r="E20" s="35"/>
    </row>
    <row r="21" spans="1:5" x14ac:dyDescent="0.4">
      <c r="A21" s="37" t="s">
        <v>158</v>
      </c>
      <c r="B21" s="38"/>
      <c r="C21" s="39"/>
      <c r="D21" s="40" t="s">
        <v>45</v>
      </c>
      <c r="E21" s="35"/>
    </row>
    <row r="22" spans="1:5" x14ac:dyDescent="0.4">
      <c r="A22" s="37" t="s">
        <v>158</v>
      </c>
      <c r="B22" s="38"/>
      <c r="C22" s="39"/>
      <c r="D22" s="40" t="s">
        <v>46</v>
      </c>
      <c r="E22" s="35"/>
    </row>
    <row r="23" spans="1:5" x14ac:dyDescent="0.4">
      <c r="A23" s="37" t="s">
        <v>158</v>
      </c>
      <c r="B23" s="38"/>
      <c r="C23" s="39"/>
      <c r="D23" s="40" t="s">
        <v>47</v>
      </c>
      <c r="E23" s="35"/>
    </row>
    <row r="24" spans="1:5" x14ac:dyDescent="0.4">
      <c r="A24" s="37" t="s">
        <v>158</v>
      </c>
      <c r="B24" s="41"/>
      <c r="C24" s="42"/>
      <c r="D24" s="43" t="s">
        <v>48</v>
      </c>
      <c r="E24" s="35"/>
    </row>
    <row r="25" spans="1:5" x14ac:dyDescent="0.4">
      <c r="A25" s="37" t="s">
        <v>158</v>
      </c>
      <c r="B25" s="38"/>
      <c r="C25" s="39" t="s">
        <v>151</v>
      </c>
      <c r="D25" s="40" t="s">
        <v>185</v>
      </c>
      <c r="E25" s="35"/>
    </row>
    <row r="26" spans="1:5" x14ac:dyDescent="0.4">
      <c r="A26" s="37" t="s">
        <v>158</v>
      </c>
      <c r="B26" s="41"/>
      <c r="C26" s="42"/>
      <c r="D26" s="43" t="s">
        <v>55</v>
      </c>
      <c r="E26" s="35"/>
    </row>
    <row r="27" spans="1:5" x14ac:dyDescent="0.4">
      <c r="A27" s="37" t="s">
        <v>158</v>
      </c>
      <c r="B27" s="38"/>
      <c r="C27" s="39" t="s">
        <v>152</v>
      </c>
      <c r="D27" s="40" t="s">
        <v>50</v>
      </c>
      <c r="E27" s="35"/>
    </row>
    <row r="28" spans="1:5" x14ac:dyDescent="0.4">
      <c r="A28" s="37" t="s">
        <v>158</v>
      </c>
      <c r="B28" s="38"/>
      <c r="C28" s="39"/>
      <c r="D28" s="40" t="s">
        <v>51</v>
      </c>
      <c r="E28" s="35"/>
    </row>
    <row r="29" spans="1:5" x14ac:dyDescent="0.4">
      <c r="A29" s="37" t="s">
        <v>158</v>
      </c>
      <c r="B29" s="38"/>
      <c r="C29" s="39"/>
      <c r="D29" s="40" t="s">
        <v>52</v>
      </c>
      <c r="E29" s="35"/>
    </row>
    <row r="30" spans="1:5" x14ac:dyDescent="0.4">
      <c r="A30" s="37" t="s">
        <v>158</v>
      </c>
      <c r="B30" s="38"/>
      <c r="C30" s="39"/>
      <c r="D30" s="40" t="s">
        <v>53</v>
      </c>
      <c r="E30" s="35"/>
    </row>
    <row r="31" spans="1:5" x14ac:dyDescent="0.4">
      <c r="A31" s="44" t="s">
        <v>158</v>
      </c>
      <c r="B31" s="41"/>
      <c r="C31" s="42"/>
      <c r="D31" s="43" t="s">
        <v>54</v>
      </c>
      <c r="E31" s="35"/>
    </row>
    <row r="32" spans="1:5" x14ac:dyDescent="0.4">
      <c r="A32" s="50" t="s">
        <v>237</v>
      </c>
      <c r="B32" s="46" t="s">
        <v>238</v>
      </c>
      <c r="C32" s="45" t="s">
        <v>247</v>
      </c>
      <c r="D32" s="45" t="s">
        <v>65</v>
      </c>
      <c r="E32" s="45"/>
    </row>
    <row r="33" spans="1:5" x14ac:dyDescent="0.4">
      <c r="A33" s="51" t="s">
        <v>237</v>
      </c>
      <c r="B33" s="46" t="s">
        <v>238</v>
      </c>
      <c r="C33" s="45"/>
      <c r="D33" s="45" t="s">
        <v>66</v>
      </c>
      <c r="E33" s="45"/>
    </row>
    <row r="34" spans="1:5" x14ac:dyDescent="0.4">
      <c r="A34" s="51" t="s">
        <v>237</v>
      </c>
      <c r="B34" s="46" t="s">
        <v>238</v>
      </c>
      <c r="C34" s="45"/>
      <c r="D34" s="45" t="s">
        <v>67</v>
      </c>
      <c r="E34" s="45"/>
    </row>
    <row r="35" spans="1:5" x14ac:dyDescent="0.4">
      <c r="A35" s="52" t="s">
        <v>237</v>
      </c>
      <c r="B35" s="49" t="s">
        <v>238</v>
      </c>
      <c r="C35" s="48"/>
      <c r="D35" s="48" t="s">
        <v>68</v>
      </c>
      <c r="E35" s="48"/>
    </row>
    <row r="36" spans="1:5" x14ac:dyDescent="0.4">
      <c r="A36" s="51" t="s">
        <v>237</v>
      </c>
      <c r="B36" s="46" t="s">
        <v>240</v>
      </c>
      <c r="C36" s="45" t="s">
        <v>248</v>
      </c>
      <c r="D36" s="90" t="s">
        <v>286</v>
      </c>
      <c r="E36" s="45" t="s">
        <v>57</v>
      </c>
    </row>
    <row r="37" spans="1:5" x14ac:dyDescent="0.4">
      <c r="A37" s="51" t="s">
        <v>237</v>
      </c>
      <c r="B37" s="46" t="s">
        <v>239</v>
      </c>
      <c r="C37" s="45" t="s">
        <v>253</v>
      </c>
      <c r="D37" s="90" t="s">
        <v>284</v>
      </c>
      <c r="E37" s="45" t="s">
        <v>70</v>
      </c>
    </row>
    <row r="38" spans="1:5" x14ac:dyDescent="0.4">
      <c r="A38" s="51" t="s">
        <v>237</v>
      </c>
      <c r="B38" s="46" t="s">
        <v>239</v>
      </c>
      <c r="C38" s="45"/>
      <c r="D38" s="90" t="s">
        <v>282</v>
      </c>
      <c r="E38" s="45" t="s">
        <v>70</v>
      </c>
    </row>
    <row r="39" spans="1:5" x14ac:dyDescent="0.4">
      <c r="A39" s="51" t="s">
        <v>237</v>
      </c>
      <c r="B39" s="46" t="s">
        <v>239</v>
      </c>
      <c r="C39" s="45" t="s">
        <v>254</v>
      </c>
      <c r="D39" s="90" t="s">
        <v>288</v>
      </c>
      <c r="E39" s="45" t="s">
        <v>71</v>
      </c>
    </row>
    <row r="40" spans="1:5" x14ac:dyDescent="0.4">
      <c r="A40" s="51" t="s">
        <v>237</v>
      </c>
      <c r="B40" s="46" t="s">
        <v>239</v>
      </c>
      <c r="C40" s="45"/>
      <c r="D40" s="90" t="s">
        <v>290</v>
      </c>
      <c r="E40" s="45" t="s">
        <v>71</v>
      </c>
    </row>
    <row r="41" spans="1:5" x14ac:dyDescent="0.4">
      <c r="A41" s="51" t="s">
        <v>237</v>
      </c>
      <c r="B41" s="46" t="s">
        <v>239</v>
      </c>
      <c r="C41" s="45" t="s">
        <v>271</v>
      </c>
      <c r="D41" s="90" t="s">
        <v>292</v>
      </c>
      <c r="E41" s="45" t="s">
        <v>71</v>
      </c>
    </row>
    <row r="42" spans="1:5" x14ac:dyDescent="0.4">
      <c r="A42" s="52" t="s">
        <v>237</v>
      </c>
      <c r="B42" s="49" t="s">
        <v>239</v>
      </c>
      <c r="C42" s="48"/>
      <c r="D42" s="91" t="s">
        <v>279</v>
      </c>
      <c r="E42" s="48" t="s">
        <v>71</v>
      </c>
    </row>
    <row r="43" spans="1:5" x14ac:dyDescent="0.4">
      <c r="A43" s="51" t="s">
        <v>237</v>
      </c>
      <c r="B43" s="46" t="s">
        <v>242</v>
      </c>
      <c r="C43" s="45" t="s">
        <v>269</v>
      </c>
      <c r="D43" s="45" t="s">
        <v>73</v>
      </c>
      <c r="E43" s="45"/>
    </row>
    <row r="44" spans="1:5" x14ac:dyDescent="0.4">
      <c r="A44" s="51" t="s">
        <v>237</v>
      </c>
      <c r="B44" s="46" t="s">
        <v>241</v>
      </c>
      <c r="C44" s="45"/>
      <c r="D44" s="45" t="s">
        <v>352</v>
      </c>
      <c r="E44" s="45"/>
    </row>
    <row r="45" spans="1:5" x14ac:dyDescent="0.4">
      <c r="A45" s="51" t="s">
        <v>237</v>
      </c>
      <c r="B45" s="46" t="s">
        <v>241</v>
      </c>
      <c r="C45" s="45"/>
      <c r="D45" s="45" t="s">
        <v>354</v>
      </c>
      <c r="E45" s="45"/>
    </row>
    <row r="46" spans="1:5" x14ac:dyDescent="0.4">
      <c r="A46" s="51" t="s">
        <v>237</v>
      </c>
      <c r="B46" s="46" t="s">
        <v>241</v>
      </c>
      <c r="C46" s="45" t="s">
        <v>270</v>
      </c>
      <c r="D46" s="45" t="s">
        <v>73</v>
      </c>
      <c r="E46" s="45"/>
    </row>
    <row r="47" spans="1:5" x14ac:dyDescent="0.4">
      <c r="A47" s="51" t="s">
        <v>237</v>
      </c>
      <c r="B47" s="46" t="s">
        <v>241</v>
      </c>
      <c r="C47" s="45"/>
      <c r="D47" s="45" t="s">
        <v>352</v>
      </c>
      <c r="E47" s="45"/>
    </row>
    <row r="48" spans="1:5" x14ac:dyDescent="0.4">
      <c r="A48" s="52" t="s">
        <v>237</v>
      </c>
      <c r="B48" s="49" t="s">
        <v>241</v>
      </c>
      <c r="C48" s="48"/>
      <c r="D48" s="48" t="s">
        <v>354</v>
      </c>
      <c r="E48" s="48"/>
    </row>
    <row r="49" spans="1:5" x14ac:dyDescent="0.4">
      <c r="A49" s="51" t="s">
        <v>237</v>
      </c>
      <c r="B49" s="46" t="s">
        <v>244</v>
      </c>
      <c r="C49" s="45" t="s">
        <v>249</v>
      </c>
      <c r="D49" s="45" t="s">
        <v>73</v>
      </c>
      <c r="E49" s="45"/>
    </row>
    <row r="50" spans="1:5" x14ac:dyDescent="0.4">
      <c r="A50" s="52" t="s">
        <v>237</v>
      </c>
      <c r="B50" s="49" t="s">
        <v>243</v>
      </c>
      <c r="C50" s="48"/>
      <c r="D50" s="48" t="s">
        <v>74</v>
      </c>
      <c r="E50" s="48"/>
    </row>
    <row r="51" spans="1:5" x14ac:dyDescent="0.4">
      <c r="A51" s="51" t="s">
        <v>237</v>
      </c>
      <c r="B51" s="46" t="s">
        <v>246</v>
      </c>
      <c r="C51" s="45" t="s">
        <v>250</v>
      </c>
      <c r="D51" s="45" t="s">
        <v>73</v>
      </c>
      <c r="E51" s="45"/>
    </row>
    <row r="52" spans="1:5" x14ac:dyDescent="0.4">
      <c r="A52" s="51" t="s">
        <v>237</v>
      </c>
      <c r="B52" s="49" t="s">
        <v>245</v>
      </c>
      <c r="C52" s="48"/>
      <c r="D52" s="48" t="s">
        <v>76</v>
      </c>
      <c r="E52" s="48"/>
    </row>
    <row r="53" spans="1:5" x14ac:dyDescent="0.4">
      <c r="A53" s="51" t="s">
        <v>237</v>
      </c>
      <c r="B53" s="46" t="s">
        <v>245</v>
      </c>
      <c r="C53" s="45" t="s">
        <v>251</v>
      </c>
      <c r="D53" s="87">
        <v>10</v>
      </c>
      <c r="E53" s="45" t="s">
        <v>78</v>
      </c>
    </row>
    <row r="54" spans="1:5" x14ac:dyDescent="0.4">
      <c r="A54" s="51" t="s">
        <v>237</v>
      </c>
      <c r="B54" s="46" t="s">
        <v>245</v>
      </c>
      <c r="C54" s="45"/>
      <c r="D54" s="87">
        <v>20</v>
      </c>
      <c r="E54" s="45" t="s">
        <v>78</v>
      </c>
    </row>
    <row r="55" spans="1:5" x14ac:dyDescent="0.4">
      <c r="A55" s="51" t="s">
        <v>237</v>
      </c>
      <c r="B55" s="46" t="s">
        <v>245</v>
      </c>
      <c r="C55" s="45"/>
      <c r="D55" s="87">
        <v>30</v>
      </c>
      <c r="E55" s="45" t="s">
        <v>78</v>
      </c>
    </row>
    <row r="56" spans="1:5" x14ac:dyDescent="0.4">
      <c r="A56" s="51" t="s">
        <v>237</v>
      </c>
      <c r="B56" s="46" t="s">
        <v>245</v>
      </c>
      <c r="C56" s="45"/>
      <c r="D56" s="87">
        <v>40</v>
      </c>
      <c r="E56" s="45" t="s">
        <v>78</v>
      </c>
    </row>
    <row r="57" spans="1:5" x14ac:dyDescent="0.4">
      <c r="A57" s="51" t="s">
        <v>237</v>
      </c>
      <c r="B57" s="46" t="s">
        <v>245</v>
      </c>
      <c r="C57" s="45"/>
      <c r="D57" s="87">
        <v>50</v>
      </c>
      <c r="E57" s="45" t="s">
        <v>78</v>
      </c>
    </row>
    <row r="58" spans="1:5" x14ac:dyDescent="0.4">
      <c r="A58" s="51" t="s">
        <v>237</v>
      </c>
      <c r="B58" s="46" t="s">
        <v>245</v>
      </c>
      <c r="C58" s="45"/>
      <c r="D58" s="87">
        <v>60</v>
      </c>
      <c r="E58" s="45" t="s">
        <v>78</v>
      </c>
    </row>
    <row r="59" spans="1:5" x14ac:dyDescent="0.4">
      <c r="A59" s="51" t="s">
        <v>237</v>
      </c>
      <c r="B59" s="46" t="s">
        <v>245</v>
      </c>
      <c r="C59" s="45"/>
      <c r="D59" s="87">
        <v>70</v>
      </c>
      <c r="E59" s="45" t="s">
        <v>78</v>
      </c>
    </row>
    <row r="60" spans="1:5" x14ac:dyDescent="0.4">
      <c r="A60" s="51" t="s">
        <v>237</v>
      </c>
      <c r="B60" s="46" t="s">
        <v>245</v>
      </c>
      <c r="C60" s="45"/>
      <c r="D60" s="87">
        <v>80</v>
      </c>
      <c r="E60" s="45" t="s">
        <v>78</v>
      </c>
    </row>
    <row r="61" spans="1:5" x14ac:dyDescent="0.4">
      <c r="A61" s="51" t="s">
        <v>237</v>
      </c>
      <c r="B61" s="46" t="s">
        <v>245</v>
      </c>
      <c r="C61" s="45"/>
      <c r="D61" s="87">
        <v>90</v>
      </c>
      <c r="E61" s="45" t="s">
        <v>78</v>
      </c>
    </row>
    <row r="62" spans="1:5" x14ac:dyDescent="0.4">
      <c r="A62" s="51" t="s">
        <v>237</v>
      </c>
      <c r="B62" s="49" t="s">
        <v>245</v>
      </c>
      <c r="C62" s="48"/>
      <c r="D62" s="88">
        <v>100</v>
      </c>
      <c r="E62" s="48" t="s">
        <v>78</v>
      </c>
    </row>
    <row r="63" spans="1:5" x14ac:dyDescent="0.4">
      <c r="A63" s="51" t="s">
        <v>237</v>
      </c>
      <c r="B63" s="46" t="s">
        <v>245</v>
      </c>
      <c r="C63" s="45" t="s">
        <v>252</v>
      </c>
      <c r="D63" s="45" t="s">
        <v>80</v>
      </c>
      <c r="E63" s="45"/>
    </row>
    <row r="64" spans="1:5" x14ac:dyDescent="0.4">
      <c r="A64" s="52" t="s">
        <v>237</v>
      </c>
      <c r="B64" s="49" t="s">
        <v>245</v>
      </c>
      <c r="C64" s="48"/>
      <c r="D64" s="48" t="s">
        <v>81</v>
      </c>
      <c r="E64" s="48"/>
    </row>
    <row r="65" spans="1:5" x14ac:dyDescent="0.4">
      <c r="A65" s="93" t="s">
        <v>320</v>
      </c>
      <c r="B65" s="94" t="s">
        <v>294</v>
      </c>
      <c r="C65" s="95" t="s">
        <v>91</v>
      </c>
      <c r="D65" s="96" t="s">
        <v>92</v>
      </c>
      <c r="E65" s="93"/>
    </row>
    <row r="66" spans="1:5" x14ac:dyDescent="0.4">
      <c r="A66" s="93" t="s">
        <v>319</v>
      </c>
      <c r="B66" s="94"/>
      <c r="C66" s="95"/>
      <c r="D66" s="96" t="s">
        <v>93</v>
      </c>
      <c r="E66" s="93"/>
    </row>
    <row r="67" spans="1:5" x14ac:dyDescent="0.4">
      <c r="A67" s="93" t="s">
        <v>319</v>
      </c>
      <c r="B67" s="104"/>
      <c r="C67" s="105"/>
      <c r="D67" s="106" t="s">
        <v>94</v>
      </c>
      <c r="E67" s="105"/>
    </row>
    <row r="68" spans="1:5" x14ac:dyDescent="0.4">
      <c r="A68" s="93" t="s">
        <v>319</v>
      </c>
      <c r="B68" s="97" t="s">
        <v>295</v>
      </c>
      <c r="C68" s="95" t="s">
        <v>390</v>
      </c>
      <c r="D68" s="98" t="s">
        <v>355</v>
      </c>
      <c r="E68" s="93"/>
    </row>
    <row r="69" spans="1:5" x14ac:dyDescent="0.4">
      <c r="A69" s="93" t="s">
        <v>319</v>
      </c>
      <c r="B69" s="97"/>
      <c r="C69" s="95"/>
      <c r="D69" s="98" t="s">
        <v>356</v>
      </c>
      <c r="E69" s="93"/>
    </row>
    <row r="70" spans="1:5" x14ac:dyDescent="0.4">
      <c r="A70" s="93" t="s">
        <v>319</v>
      </c>
      <c r="B70" s="97"/>
      <c r="C70" s="95"/>
      <c r="D70" s="98" t="s">
        <v>357</v>
      </c>
      <c r="E70" s="93"/>
    </row>
    <row r="71" spans="1:5" x14ac:dyDescent="0.4">
      <c r="A71" s="93" t="s">
        <v>319</v>
      </c>
      <c r="B71" s="97"/>
      <c r="C71" s="95"/>
      <c r="D71" s="98" t="s">
        <v>358</v>
      </c>
      <c r="E71" s="93"/>
    </row>
    <row r="72" spans="1:5" x14ac:dyDescent="0.4">
      <c r="A72" s="93" t="s">
        <v>319</v>
      </c>
      <c r="B72" s="97"/>
      <c r="C72" s="95"/>
      <c r="D72" s="98" t="s">
        <v>359</v>
      </c>
      <c r="E72" s="93"/>
    </row>
    <row r="73" spans="1:5" x14ac:dyDescent="0.4">
      <c r="A73" s="93" t="s">
        <v>319</v>
      </c>
      <c r="B73" s="97"/>
      <c r="C73" s="95"/>
      <c r="D73" s="98" t="s">
        <v>360</v>
      </c>
      <c r="E73" s="93"/>
    </row>
    <row r="74" spans="1:5" x14ac:dyDescent="0.4">
      <c r="A74" s="93" t="s">
        <v>319</v>
      </c>
      <c r="B74" s="97"/>
      <c r="C74" s="95"/>
      <c r="D74" s="98" t="s">
        <v>361</v>
      </c>
      <c r="E74" s="93"/>
    </row>
    <row r="75" spans="1:5" x14ac:dyDescent="0.4">
      <c r="A75" s="93" t="s">
        <v>319</v>
      </c>
      <c r="B75" s="97"/>
      <c r="C75" s="95"/>
      <c r="D75" s="98" t="s">
        <v>362</v>
      </c>
      <c r="E75" s="93"/>
    </row>
    <row r="76" spans="1:5" x14ac:dyDescent="0.4">
      <c r="A76" s="93" t="s">
        <v>319</v>
      </c>
      <c r="B76" s="97"/>
      <c r="C76" s="95"/>
      <c r="D76" s="98" t="s">
        <v>363</v>
      </c>
      <c r="E76" s="93"/>
    </row>
    <row r="77" spans="1:5" x14ac:dyDescent="0.4">
      <c r="A77" s="93" t="s">
        <v>319</v>
      </c>
      <c r="B77" s="97"/>
      <c r="C77" s="95"/>
      <c r="D77" s="98" t="s">
        <v>364</v>
      </c>
      <c r="E77" s="93"/>
    </row>
    <row r="78" spans="1:5" x14ac:dyDescent="0.4">
      <c r="A78" s="93" t="s">
        <v>319</v>
      </c>
      <c r="B78" s="97"/>
      <c r="C78" s="95"/>
      <c r="D78" s="98" t="s">
        <v>365</v>
      </c>
      <c r="E78" s="93"/>
    </row>
    <row r="79" spans="1:5" x14ac:dyDescent="0.4">
      <c r="A79" s="93" t="s">
        <v>319</v>
      </c>
      <c r="B79" s="94"/>
      <c r="C79" s="95"/>
      <c r="D79" s="96" t="s">
        <v>366</v>
      </c>
      <c r="E79" s="95"/>
    </row>
    <row r="80" spans="1:5" x14ac:dyDescent="0.4">
      <c r="A80" s="93" t="s">
        <v>319</v>
      </c>
      <c r="B80" s="97" t="s">
        <v>295</v>
      </c>
      <c r="C80" s="95" t="s">
        <v>391</v>
      </c>
      <c r="D80" s="98" t="s">
        <v>367</v>
      </c>
      <c r="E80" s="93"/>
    </row>
    <row r="81" spans="1:5" x14ac:dyDescent="0.4">
      <c r="A81" s="93" t="s">
        <v>319</v>
      </c>
      <c r="B81" s="97"/>
      <c r="C81" s="95"/>
      <c r="D81" s="98" t="s">
        <v>368</v>
      </c>
      <c r="E81" s="93"/>
    </row>
    <row r="82" spans="1:5" x14ac:dyDescent="0.4">
      <c r="A82" s="93" t="s">
        <v>319</v>
      </c>
      <c r="B82" s="97" t="s">
        <v>295</v>
      </c>
      <c r="C82" s="95" t="s">
        <v>392</v>
      </c>
      <c r="D82" s="109" t="s">
        <v>340</v>
      </c>
      <c r="E82" s="93" t="s">
        <v>132</v>
      </c>
    </row>
    <row r="83" spans="1:5" x14ac:dyDescent="0.4">
      <c r="A83" s="93" t="s">
        <v>319</v>
      </c>
      <c r="B83" s="97" t="s">
        <v>295</v>
      </c>
      <c r="C83" s="95" t="s">
        <v>393</v>
      </c>
      <c r="D83" s="98" t="s">
        <v>321</v>
      </c>
      <c r="E83" s="93"/>
    </row>
    <row r="84" spans="1:5" x14ac:dyDescent="0.4">
      <c r="A84" s="93" t="s">
        <v>319</v>
      </c>
      <c r="B84" s="97"/>
      <c r="C84" s="95"/>
      <c r="D84" s="98" t="s">
        <v>322</v>
      </c>
      <c r="E84" s="93"/>
    </row>
    <row r="85" spans="1:5" x14ac:dyDescent="0.4">
      <c r="A85" s="93" t="s">
        <v>319</v>
      </c>
      <c r="B85" s="97"/>
      <c r="C85" s="95"/>
      <c r="D85" s="98" t="s">
        <v>323</v>
      </c>
      <c r="E85" s="93"/>
    </row>
    <row r="86" spans="1:5" x14ac:dyDescent="0.4">
      <c r="A86" s="93" t="s">
        <v>319</v>
      </c>
      <c r="B86" s="97" t="s">
        <v>295</v>
      </c>
      <c r="C86" s="95" t="s">
        <v>394</v>
      </c>
      <c r="D86" s="98" t="s">
        <v>324</v>
      </c>
      <c r="E86" s="93"/>
    </row>
    <row r="87" spans="1:5" x14ac:dyDescent="0.4">
      <c r="A87" s="93" t="s">
        <v>319</v>
      </c>
      <c r="B87" s="97"/>
      <c r="C87" s="95"/>
      <c r="D87" s="96" t="s">
        <v>325</v>
      </c>
      <c r="E87" s="95"/>
    </row>
    <row r="88" spans="1:5" x14ac:dyDescent="0.4">
      <c r="A88" s="93" t="s">
        <v>319</v>
      </c>
      <c r="B88" s="97" t="s">
        <v>295</v>
      </c>
      <c r="C88" s="95" t="s">
        <v>395</v>
      </c>
      <c r="D88" s="98" t="s">
        <v>367</v>
      </c>
      <c r="E88" s="93"/>
    </row>
    <row r="89" spans="1:5" x14ac:dyDescent="0.4">
      <c r="A89" s="93" t="s">
        <v>319</v>
      </c>
      <c r="B89" s="97"/>
      <c r="C89" s="95"/>
      <c r="D89" s="98" t="s">
        <v>368</v>
      </c>
      <c r="E89" s="93"/>
    </row>
    <row r="90" spans="1:5" x14ac:dyDescent="0.4">
      <c r="A90" s="93" t="s">
        <v>319</v>
      </c>
      <c r="B90" s="97" t="s">
        <v>295</v>
      </c>
      <c r="C90" s="95" t="s">
        <v>396</v>
      </c>
      <c r="D90" s="107" t="s">
        <v>328</v>
      </c>
      <c r="E90" s="93" t="s">
        <v>132</v>
      </c>
    </row>
    <row r="91" spans="1:5" x14ac:dyDescent="0.4">
      <c r="A91" s="93" t="s">
        <v>319</v>
      </c>
      <c r="B91" s="97" t="s">
        <v>295</v>
      </c>
      <c r="C91" s="95" t="s">
        <v>397</v>
      </c>
      <c r="D91" s="98" t="s">
        <v>367</v>
      </c>
      <c r="E91" s="93"/>
    </row>
    <row r="92" spans="1:5" x14ac:dyDescent="0.4">
      <c r="A92" s="93" t="s">
        <v>319</v>
      </c>
      <c r="B92" s="97"/>
      <c r="C92" s="95"/>
      <c r="D92" s="98" t="s">
        <v>368</v>
      </c>
      <c r="E92" s="93"/>
    </row>
    <row r="93" spans="1:5" x14ac:dyDescent="0.4">
      <c r="A93" s="93" t="s">
        <v>319</v>
      </c>
      <c r="B93" s="97" t="s">
        <v>295</v>
      </c>
      <c r="C93" s="95" t="s">
        <v>398</v>
      </c>
      <c r="D93" s="107" t="s">
        <v>342</v>
      </c>
      <c r="E93" s="93" t="s">
        <v>132</v>
      </c>
    </row>
    <row r="94" spans="1:5" x14ac:dyDescent="0.4">
      <c r="A94" s="93" t="s">
        <v>319</v>
      </c>
      <c r="B94" s="97"/>
      <c r="C94" s="95"/>
      <c r="D94" s="107" t="s">
        <v>343</v>
      </c>
      <c r="E94" s="93"/>
    </row>
    <row r="95" spans="1:5" x14ac:dyDescent="0.4">
      <c r="A95" s="93" t="s">
        <v>319</v>
      </c>
      <c r="B95" s="97"/>
      <c r="C95" s="95"/>
      <c r="D95" s="107" t="s">
        <v>344</v>
      </c>
      <c r="E95" s="93"/>
    </row>
    <row r="96" spans="1:5" x14ac:dyDescent="0.4">
      <c r="A96" s="93" t="s">
        <v>319</v>
      </c>
      <c r="B96" s="97"/>
      <c r="C96" s="95"/>
      <c r="D96" s="107" t="s">
        <v>328</v>
      </c>
      <c r="E96" s="93"/>
    </row>
    <row r="97" spans="1:5" x14ac:dyDescent="0.4">
      <c r="A97" s="93" t="s">
        <v>319</v>
      </c>
      <c r="B97" s="97"/>
      <c r="C97" s="95"/>
      <c r="D97" s="107" t="s">
        <v>345</v>
      </c>
      <c r="E97" s="93"/>
    </row>
    <row r="98" spans="1:5" x14ac:dyDescent="0.4">
      <c r="A98" s="93" t="s">
        <v>319</v>
      </c>
      <c r="B98" s="97"/>
      <c r="C98" s="95"/>
      <c r="D98" s="107" t="s">
        <v>346</v>
      </c>
      <c r="E98" s="93"/>
    </row>
    <row r="99" spans="1:5" x14ac:dyDescent="0.4">
      <c r="A99" s="93" t="s">
        <v>319</v>
      </c>
      <c r="B99" s="97"/>
      <c r="C99" s="95"/>
      <c r="D99" s="107" t="s">
        <v>347</v>
      </c>
      <c r="E99" s="93"/>
    </row>
    <row r="100" spans="1:5" x14ac:dyDescent="0.4">
      <c r="A100" s="93" t="s">
        <v>319</v>
      </c>
      <c r="B100" s="97"/>
      <c r="C100" s="95"/>
      <c r="D100" s="107" t="s">
        <v>348</v>
      </c>
      <c r="E100" s="93"/>
    </row>
    <row r="101" spans="1:5" x14ac:dyDescent="0.4">
      <c r="A101" s="93" t="s">
        <v>319</v>
      </c>
      <c r="B101" s="97"/>
      <c r="C101" s="95"/>
      <c r="D101" s="107" t="s">
        <v>349</v>
      </c>
      <c r="E101" s="93"/>
    </row>
    <row r="102" spans="1:5" x14ac:dyDescent="0.4">
      <c r="A102" s="93" t="s">
        <v>319</v>
      </c>
      <c r="B102" s="97"/>
      <c r="C102" s="95"/>
      <c r="D102" s="107" t="s">
        <v>350</v>
      </c>
      <c r="E102" s="93"/>
    </row>
    <row r="103" spans="1:5" x14ac:dyDescent="0.4">
      <c r="A103" s="93" t="s">
        <v>319</v>
      </c>
      <c r="B103" s="97" t="s">
        <v>295</v>
      </c>
      <c r="C103" s="95" t="s">
        <v>429</v>
      </c>
      <c r="D103" s="108" t="s">
        <v>329</v>
      </c>
      <c r="E103" s="93" t="s">
        <v>78</v>
      </c>
    </row>
    <row r="104" spans="1:5" x14ac:dyDescent="0.4">
      <c r="A104" s="93" t="s">
        <v>319</v>
      </c>
      <c r="B104" s="97"/>
      <c r="C104" s="95"/>
      <c r="D104" s="108" t="s">
        <v>330</v>
      </c>
      <c r="E104" s="93"/>
    </row>
    <row r="105" spans="1:5" x14ac:dyDescent="0.4">
      <c r="A105" s="93" t="s">
        <v>319</v>
      </c>
      <c r="B105" s="97"/>
      <c r="C105" s="95"/>
      <c r="D105" s="108" t="s">
        <v>331</v>
      </c>
      <c r="E105" s="93"/>
    </row>
    <row r="106" spans="1:5" x14ac:dyDescent="0.4">
      <c r="A106" s="93" t="s">
        <v>319</v>
      </c>
      <c r="B106" s="97"/>
      <c r="C106" s="95"/>
      <c r="D106" s="108" t="s">
        <v>332</v>
      </c>
      <c r="E106" s="93"/>
    </row>
    <row r="107" spans="1:5" x14ac:dyDescent="0.4">
      <c r="A107" s="93" t="s">
        <v>319</v>
      </c>
      <c r="B107" s="97"/>
      <c r="C107" s="95"/>
      <c r="D107" s="108" t="s">
        <v>333</v>
      </c>
      <c r="E107" s="93"/>
    </row>
    <row r="108" spans="1:5" x14ac:dyDescent="0.4">
      <c r="A108" s="93" t="s">
        <v>319</v>
      </c>
      <c r="B108" s="97"/>
      <c r="C108" s="95"/>
      <c r="D108" s="108" t="s">
        <v>334</v>
      </c>
      <c r="E108" s="93"/>
    </row>
    <row r="109" spans="1:5" x14ac:dyDescent="0.4">
      <c r="A109" s="93" t="s">
        <v>319</v>
      </c>
      <c r="B109" s="97"/>
      <c r="C109" s="95"/>
      <c r="D109" s="108" t="s">
        <v>335</v>
      </c>
      <c r="E109" s="93"/>
    </row>
    <row r="110" spans="1:5" x14ac:dyDescent="0.4">
      <c r="A110" s="93" t="s">
        <v>319</v>
      </c>
      <c r="B110" s="97"/>
      <c r="C110" s="95"/>
      <c r="D110" s="108" t="s">
        <v>336</v>
      </c>
      <c r="E110" s="93"/>
    </row>
    <row r="111" spans="1:5" x14ac:dyDescent="0.4">
      <c r="A111" s="93" t="s">
        <v>319</v>
      </c>
      <c r="B111" s="97"/>
      <c r="C111" s="95"/>
      <c r="D111" s="108" t="s">
        <v>337</v>
      </c>
      <c r="E111" s="93"/>
    </row>
    <row r="112" spans="1:5" x14ac:dyDescent="0.4">
      <c r="A112" s="93" t="s">
        <v>319</v>
      </c>
      <c r="B112" s="97"/>
      <c r="C112" s="95"/>
      <c r="D112" s="108" t="s">
        <v>338</v>
      </c>
      <c r="E112" s="93"/>
    </row>
    <row r="113" spans="1:5" x14ac:dyDescent="0.4">
      <c r="A113" s="93" t="s">
        <v>319</v>
      </c>
      <c r="B113" s="97" t="s">
        <v>295</v>
      </c>
      <c r="C113" s="95" t="s">
        <v>399</v>
      </c>
      <c r="D113" s="98" t="s">
        <v>369</v>
      </c>
      <c r="E113" s="93"/>
    </row>
    <row r="114" spans="1:5" x14ac:dyDescent="0.4">
      <c r="A114" s="93" t="s">
        <v>319</v>
      </c>
      <c r="B114" s="97"/>
      <c r="C114" s="95"/>
      <c r="D114" s="98" t="s">
        <v>370</v>
      </c>
      <c r="E114" s="93"/>
    </row>
    <row r="115" spans="1:5" x14ac:dyDescent="0.4">
      <c r="A115" s="93" t="s">
        <v>319</v>
      </c>
      <c r="B115" s="97" t="s">
        <v>295</v>
      </c>
      <c r="C115" s="95" t="s">
        <v>400</v>
      </c>
      <c r="D115" s="95" t="s">
        <v>371</v>
      </c>
      <c r="E115" s="93"/>
    </row>
    <row r="116" spans="1:5" x14ac:dyDescent="0.4">
      <c r="A116" s="93" t="s">
        <v>319</v>
      </c>
      <c r="B116" s="97"/>
      <c r="C116" s="95"/>
      <c r="D116" s="95" t="s">
        <v>372</v>
      </c>
      <c r="E116" s="93"/>
    </row>
    <row r="117" spans="1:5" x14ac:dyDescent="0.4">
      <c r="A117" s="93" t="s">
        <v>319</v>
      </c>
      <c r="B117" s="97" t="s">
        <v>295</v>
      </c>
      <c r="C117" s="95" t="s">
        <v>401</v>
      </c>
      <c r="D117" s="99">
        <v>12.5</v>
      </c>
      <c r="E117" s="93" t="s">
        <v>131</v>
      </c>
    </row>
    <row r="118" spans="1:5" x14ac:dyDescent="0.4">
      <c r="A118" s="93" t="s">
        <v>319</v>
      </c>
      <c r="B118" s="97" t="s">
        <v>295</v>
      </c>
      <c r="C118" s="95" t="s">
        <v>402</v>
      </c>
      <c r="D118" s="99">
        <v>63.7</v>
      </c>
      <c r="E118" s="93" t="s">
        <v>132</v>
      </c>
    </row>
    <row r="119" spans="1:5" x14ac:dyDescent="0.4">
      <c r="A119" s="93" t="s">
        <v>319</v>
      </c>
      <c r="B119" s="97" t="s">
        <v>295</v>
      </c>
      <c r="C119" s="95" t="s">
        <v>403</v>
      </c>
      <c r="D119" s="100">
        <v>155</v>
      </c>
      <c r="E119" s="93" t="s">
        <v>133</v>
      </c>
    </row>
    <row r="120" spans="1:5" x14ac:dyDescent="0.4">
      <c r="A120" s="93" t="s">
        <v>319</v>
      </c>
      <c r="B120" s="97" t="s">
        <v>295</v>
      </c>
      <c r="C120" s="95" t="s">
        <v>404</v>
      </c>
      <c r="D120" s="100">
        <v>134</v>
      </c>
      <c r="E120" s="93" t="s">
        <v>134</v>
      </c>
    </row>
    <row r="121" spans="1:5" x14ac:dyDescent="0.4">
      <c r="A121" s="93" t="s">
        <v>319</v>
      </c>
      <c r="B121" s="97" t="s">
        <v>295</v>
      </c>
      <c r="C121" s="95" t="s">
        <v>405</v>
      </c>
      <c r="D121" s="95" t="s">
        <v>377</v>
      </c>
      <c r="E121" s="93"/>
    </row>
    <row r="122" spans="1:5" x14ac:dyDescent="0.4">
      <c r="A122" s="93" t="s">
        <v>319</v>
      </c>
      <c r="B122" s="97" t="s">
        <v>296</v>
      </c>
      <c r="C122" s="95" t="s">
        <v>406</v>
      </c>
      <c r="D122" s="96" t="s">
        <v>355</v>
      </c>
      <c r="E122" s="93"/>
    </row>
    <row r="123" spans="1:5" x14ac:dyDescent="0.4">
      <c r="A123" s="93" t="s">
        <v>319</v>
      </c>
      <c r="B123" s="94"/>
      <c r="C123" s="95"/>
      <c r="D123" s="96" t="s">
        <v>356</v>
      </c>
      <c r="E123" s="93"/>
    </row>
    <row r="124" spans="1:5" x14ac:dyDescent="0.4">
      <c r="A124" s="93" t="s">
        <v>319</v>
      </c>
      <c r="B124" s="94"/>
      <c r="C124" s="95"/>
      <c r="D124" s="96" t="s">
        <v>357</v>
      </c>
      <c r="E124" s="93"/>
    </row>
    <row r="125" spans="1:5" x14ac:dyDescent="0.4">
      <c r="A125" s="93" t="s">
        <v>319</v>
      </c>
      <c r="B125" s="94"/>
      <c r="C125" s="95"/>
      <c r="D125" s="96" t="s">
        <v>358</v>
      </c>
      <c r="E125" s="93"/>
    </row>
    <row r="126" spans="1:5" x14ac:dyDescent="0.4">
      <c r="A126" s="93" t="s">
        <v>319</v>
      </c>
      <c r="B126" s="94"/>
      <c r="C126" s="95"/>
      <c r="D126" s="96" t="s">
        <v>359</v>
      </c>
      <c r="E126" s="93"/>
    </row>
    <row r="127" spans="1:5" x14ac:dyDescent="0.4">
      <c r="A127" s="93" t="s">
        <v>319</v>
      </c>
      <c r="B127" s="94"/>
      <c r="C127" s="95"/>
      <c r="D127" s="96" t="s">
        <v>360</v>
      </c>
      <c r="E127" s="93"/>
    </row>
    <row r="128" spans="1:5" x14ac:dyDescent="0.4">
      <c r="A128" s="93" t="s">
        <v>319</v>
      </c>
      <c r="B128" s="94"/>
      <c r="C128" s="95"/>
      <c r="D128" s="96" t="s">
        <v>361</v>
      </c>
      <c r="E128" s="93"/>
    </row>
    <row r="129" spans="1:5" x14ac:dyDescent="0.4">
      <c r="A129" s="93" t="s">
        <v>319</v>
      </c>
      <c r="B129" s="94"/>
      <c r="C129" s="95"/>
      <c r="D129" s="96" t="s">
        <v>362</v>
      </c>
      <c r="E129" s="93"/>
    </row>
    <row r="130" spans="1:5" x14ac:dyDescent="0.4">
      <c r="A130" s="93" t="s">
        <v>319</v>
      </c>
      <c r="B130" s="94"/>
      <c r="C130" s="95"/>
      <c r="D130" s="96" t="s">
        <v>363</v>
      </c>
      <c r="E130" s="93"/>
    </row>
    <row r="131" spans="1:5" x14ac:dyDescent="0.4">
      <c r="A131" s="93" t="s">
        <v>319</v>
      </c>
      <c r="B131" s="94"/>
      <c r="C131" s="95"/>
      <c r="D131" s="96" t="s">
        <v>364</v>
      </c>
      <c r="E131" s="93"/>
    </row>
    <row r="132" spans="1:5" x14ac:dyDescent="0.4">
      <c r="A132" s="93" t="s">
        <v>319</v>
      </c>
      <c r="B132" s="94"/>
      <c r="C132" s="95"/>
      <c r="D132" s="96" t="s">
        <v>365</v>
      </c>
      <c r="E132" s="93"/>
    </row>
    <row r="133" spans="1:5" x14ac:dyDescent="0.4">
      <c r="A133" s="93" t="s">
        <v>319</v>
      </c>
      <c r="B133" s="94"/>
      <c r="C133" s="95"/>
      <c r="D133" s="96" t="s">
        <v>366</v>
      </c>
      <c r="E133" s="93"/>
    </row>
    <row r="134" spans="1:5" x14ac:dyDescent="0.4">
      <c r="A134" s="93" t="s">
        <v>319</v>
      </c>
      <c r="B134" s="94" t="s">
        <v>296</v>
      </c>
      <c r="C134" s="95" t="s">
        <v>407</v>
      </c>
      <c r="D134" s="96" t="s">
        <v>97</v>
      </c>
      <c r="E134" s="93"/>
    </row>
    <row r="135" spans="1:5" x14ac:dyDescent="0.4">
      <c r="A135" s="93" t="s">
        <v>319</v>
      </c>
      <c r="B135" s="94"/>
      <c r="C135" s="95"/>
      <c r="D135" s="96" t="s">
        <v>98</v>
      </c>
      <c r="E135" s="93"/>
    </row>
    <row r="136" spans="1:5" x14ac:dyDescent="0.4">
      <c r="A136" s="93" t="s">
        <v>319</v>
      </c>
      <c r="B136" s="94" t="s">
        <v>296</v>
      </c>
      <c r="C136" s="95" t="s">
        <v>408</v>
      </c>
      <c r="D136" s="109" t="s">
        <v>340</v>
      </c>
      <c r="E136" s="93" t="s">
        <v>132</v>
      </c>
    </row>
    <row r="137" spans="1:5" x14ac:dyDescent="0.4">
      <c r="A137" s="93" t="s">
        <v>319</v>
      </c>
      <c r="B137" s="94" t="s">
        <v>296</v>
      </c>
      <c r="C137" s="95" t="s">
        <v>409</v>
      </c>
      <c r="D137" s="98" t="s">
        <v>321</v>
      </c>
      <c r="E137" s="93"/>
    </row>
    <row r="138" spans="1:5" x14ac:dyDescent="0.4">
      <c r="A138" s="93" t="s">
        <v>319</v>
      </c>
      <c r="B138" s="94"/>
      <c r="C138" s="95"/>
      <c r="D138" s="98" t="s">
        <v>322</v>
      </c>
      <c r="E138" s="93"/>
    </row>
    <row r="139" spans="1:5" x14ac:dyDescent="0.4">
      <c r="A139" s="93" t="s">
        <v>319</v>
      </c>
      <c r="B139" s="94"/>
      <c r="C139" s="95"/>
      <c r="D139" s="98" t="s">
        <v>323</v>
      </c>
      <c r="E139" s="93"/>
    </row>
    <row r="140" spans="1:5" x14ac:dyDescent="0.4">
      <c r="A140" s="93" t="s">
        <v>319</v>
      </c>
      <c r="B140" s="94" t="s">
        <v>296</v>
      </c>
      <c r="C140" s="95" t="s">
        <v>410</v>
      </c>
      <c r="D140" s="98" t="s">
        <v>324</v>
      </c>
      <c r="E140" s="93"/>
    </row>
    <row r="141" spans="1:5" x14ac:dyDescent="0.4">
      <c r="A141" s="93" t="s">
        <v>319</v>
      </c>
      <c r="B141" s="94"/>
      <c r="C141" s="95"/>
      <c r="D141" s="96" t="s">
        <v>325</v>
      </c>
      <c r="E141" s="95"/>
    </row>
    <row r="142" spans="1:5" x14ac:dyDescent="0.4">
      <c r="A142" s="93" t="s">
        <v>319</v>
      </c>
      <c r="B142" s="94" t="s">
        <v>296</v>
      </c>
      <c r="C142" s="95" t="s">
        <v>411</v>
      </c>
      <c r="D142" s="98" t="s">
        <v>367</v>
      </c>
      <c r="E142" s="93"/>
    </row>
    <row r="143" spans="1:5" x14ac:dyDescent="0.4">
      <c r="A143" s="93" t="s">
        <v>319</v>
      </c>
      <c r="B143" s="94"/>
      <c r="C143" s="95"/>
      <c r="D143" s="98" t="s">
        <v>368</v>
      </c>
      <c r="E143" s="93"/>
    </row>
    <row r="144" spans="1:5" x14ac:dyDescent="0.4">
      <c r="A144" s="93" t="s">
        <v>319</v>
      </c>
      <c r="B144" s="94" t="s">
        <v>296</v>
      </c>
      <c r="C144" s="95" t="s">
        <v>412</v>
      </c>
      <c r="D144" s="107" t="s">
        <v>328</v>
      </c>
      <c r="E144" s="93" t="s">
        <v>132</v>
      </c>
    </row>
    <row r="145" spans="1:5" x14ac:dyDescent="0.4">
      <c r="A145" s="93" t="s">
        <v>319</v>
      </c>
      <c r="B145" s="94" t="s">
        <v>296</v>
      </c>
      <c r="C145" s="95" t="s">
        <v>431</v>
      </c>
      <c r="D145" s="108" t="s">
        <v>329</v>
      </c>
      <c r="E145" s="93" t="s">
        <v>78</v>
      </c>
    </row>
    <row r="146" spans="1:5" x14ac:dyDescent="0.4">
      <c r="A146" s="93" t="s">
        <v>319</v>
      </c>
      <c r="B146" s="94"/>
      <c r="C146" s="95"/>
      <c r="D146" s="108" t="s">
        <v>330</v>
      </c>
      <c r="E146" s="93"/>
    </row>
    <row r="147" spans="1:5" x14ac:dyDescent="0.4">
      <c r="A147" s="93" t="s">
        <v>319</v>
      </c>
      <c r="B147" s="94"/>
      <c r="C147" s="95"/>
      <c r="D147" s="108" t="s">
        <v>331</v>
      </c>
      <c r="E147" s="93"/>
    </row>
    <row r="148" spans="1:5" x14ac:dyDescent="0.4">
      <c r="A148" s="93" t="s">
        <v>319</v>
      </c>
      <c r="B148" s="94"/>
      <c r="C148" s="95"/>
      <c r="D148" s="108" t="s">
        <v>332</v>
      </c>
      <c r="E148" s="93"/>
    </row>
    <row r="149" spans="1:5" x14ac:dyDescent="0.4">
      <c r="A149" s="93" t="s">
        <v>319</v>
      </c>
      <c r="B149" s="94"/>
      <c r="C149" s="95"/>
      <c r="D149" s="108" t="s">
        <v>333</v>
      </c>
      <c r="E149" s="93"/>
    </row>
    <row r="150" spans="1:5" x14ac:dyDescent="0.4">
      <c r="A150" s="93" t="s">
        <v>319</v>
      </c>
      <c r="B150" s="94"/>
      <c r="C150" s="95"/>
      <c r="D150" s="108" t="s">
        <v>334</v>
      </c>
      <c r="E150" s="93"/>
    </row>
    <row r="151" spans="1:5" x14ac:dyDescent="0.4">
      <c r="A151" s="93" t="s">
        <v>319</v>
      </c>
      <c r="B151" s="94"/>
      <c r="C151" s="95"/>
      <c r="D151" s="108" t="s">
        <v>335</v>
      </c>
      <c r="E151" s="93"/>
    </row>
    <row r="152" spans="1:5" x14ac:dyDescent="0.4">
      <c r="A152" s="93" t="s">
        <v>319</v>
      </c>
      <c r="B152" s="94"/>
      <c r="C152" s="95"/>
      <c r="D152" s="108" t="s">
        <v>336</v>
      </c>
      <c r="E152" s="93"/>
    </row>
    <row r="153" spans="1:5" x14ac:dyDescent="0.4">
      <c r="A153" s="93" t="s">
        <v>319</v>
      </c>
      <c r="B153" s="94"/>
      <c r="C153" s="95"/>
      <c r="D153" s="108" t="s">
        <v>337</v>
      </c>
      <c r="E153" s="93"/>
    </row>
    <row r="154" spans="1:5" x14ac:dyDescent="0.4">
      <c r="A154" s="93" t="s">
        <v>319</v>
      </c>
      <c r="B154" s="94"/>
      <c r="C154" s="95"/>
      <c r="D154" s="108" t="s">
        <v>338</v>
      </c>
      <c r="E154" s="93"/>
    </row>
    <row r="155" spans="1:5" x14ac:dyDescent="0.4">
      <c r="A155" s="93" t="s">
        <v>319</v>
      </c>
      <c r="B155" s="94" t="s">
        <v>296</v>
      </c>
      <c r="C155" s="95" t="s">
        <v>413</v>
      </c>
      <c r="D155" s="98" t="s">
        <v>369</v>
      </c>
      <c r="E155" s="93"/>
    </row>
    <row r="156" spans="1:5" x14ac:dyDescent="0.4">
      <c r="A156" s="93" t="s">
        <v>319</v>
      </c>
      <c r="B156" s="94"/>
      <c r="C156" s="95"/>
      <c r="D156" s="98" t="s">
        <v>370</v>
      </c>
      <c r="E156" s="93"/>
    </row>
    <row r="157" spans="1:5" x14ac:dyDescent="0.4">
      <c r="A157" s="93" t="s">
        <v>319</v>
      </c>
      <c r="B157" s="94" t="s">
        <v>296</v>
      </c>
      <c r="C157" s="95" t="s">
        <v>414</v>
      </c>
      <c r="D157" s="95" t="s">
        <v>371</v>
      </c>
      <c r="E157" s="93"/>
    </row>
    <row r="158" spans="1:5" x14ac:dyDescent="0.4">
      <c r="A158" s="93" t="s">
        <v>319</v>
      </c>
      <c r="B158" s="94"/>
      <c r="C158" s="95"/>
      <c r="D158" s="95" t="s">
        <v>372</v>
      </c>
      <c r="E158" s="93"/>
    </row>
    <row r="159" spans="1:5" x14ac:dyDescent="0.4">
      <c r="A159" s="93" t="s">
        <v>319</v>
      </c>
      <c r="B159" s="94" t="s">
        <v>296</v>
      </c>
      <c r="C159" s="95" t="s">
        <v>415</v>
      </c>
      <c r="D159" s="99">
        <v>12.5</v>
      </c>
      <c r="E159" s="93" t="s">
        <v>131</v>
      </c>
    </row>
    <row r="160" spans="1:5" x14ac:dyDescent="0.4">
      <c r="A160" s="93" t="s">
        <v>319</v>
      </c>
      <c r="B160" s="94" t="s">
        <v>296</v>
      </c>
      <c r="C160" s="95" t="s">
        <v>416</v>
      </c>
      <c r="D160" s="99">
        <v>63.7</v>
      </c>
      <c r="E160" s="93" t="s">
        <v>132</v>
      </c>
    </row>
    <row r="161" spans="1:5" x14ac:dyDescent="0.4">
      <c r="A161" s="93" t="s">
        <v>319</v>
      </c>
      <c r="B161" s="94" t="s">
        <v>296</v>
      </c>
      <c r="C161" s="95" t="s">
        <v>417</v>
      </c>
      <c r="D161" s="100">
        <v>155</v>
      </c>
      <c r="E161" s="93" t="s">
        <v>133</v>
      </c>
    </row>
    <row r="162" spans="1:5" x14ac:dyDescent="0.4">
      <c r="A162" s="93" t="s">
        <v>319</v>
      </c>
      <c r="B162" s="94" t="s">
        <v>296</v>
      </c>
      <c r="C162" s="95" t="s">
        <v>418</v>
      </c>
      <c r="D162" s="100">
        <v>134</v>
      </c>
      <c r="E162" s="93" t="s">
        <v>134</v>
      </c>
    </row>
    <row r="163" spans="1:5" x14ac:dyDescent="0.4">
      <c r="A163" s="93" t="s">
        <v>319</v>
      </c>
      <c r="B163" s="94" t="s">
        <v>296</v>
      </c>
      <c r="C163" s="95" t="s">
        <v>419</v>
      </c>
      <c r="D163" s="95" t="s">
        <v>377</v>
      </c>
      <c r="E163" s="93"/>
    </row>
    <row r="164" spans="1:5" x14ac:dyDescent="0.4">
      <c r="A164" s="93" t="s">
        <v>319</v>
      </c>
      <c r="B164" s="97" t="s">
        <v>297</v>
      </c>
      <c r="C164" s="95" t="s">
        <v>100</v>
      </c>
      <c r="D164" s="98" t="s">
        <v>101</v>
      </c>
      <c r="E164" s="93"/>
    </row>
    <row r="165" spans="1:5" x14ac:dyDescent="0.4">
      <c r="A165" s="93" t="s">
        <v>319</v>
      </c>
      <c r="B165" s="97"/>
      <c r="C165" s="95"/>
      <c r="D165" s="98" t="s">
        <v>102</v>
      </c>
      <c r="E165" s="93"/>
    </row>
    <row r="166" spans="1:5" x14ac:dyDescent="0.4">
      <c r="A166" s="93" t="s">
        <v>319</v>
      </c>
      <c r="B166" s="97"/>
      <c r="C166" s="95"/>
      <c r="D166" s="98" t="s">
        <v>103</v>
      </c>
      <c r="E166" s="93"/>
    </row>
    <row r="167" spans="1:5" x14ac:dyDescent="0.4">
      <c r="A167" s="93" t="s">
        <v>319</v>
      </c>
      <c r="B167" s="97"/>
      <c r="C167" s="95"/>
      <c r="D167" s="98" t="s">
        <v>104</v>
      </c>
      <c r="E167" s="93"/>
    </row>
    <row r="168" spans="1:5" x14ac:dyDescent="0.4">
      <c r="A168" s="93" t="s">
        <v>319</v>
      </c>
      <c r="B168" s="97"/>
      <c r="C168" s="95"/>
      <c r="D168" s="98" t="s">
        <v>105</v>
      </c>
      <c r="E168" s="93"/>
    </row>
    <row r="169" spans="1:5" x14ac:dyDescent="0.4">
      <c r="A169" s="93" t="s">
        <v>319</v>
      </c>
      <c r="B169" s="97"/>
      <c r="C169" s="95"/>
      <c r="D169" s="98" t="s">
        <v>106</v>
      </c>
      <c r="E169" s="93"/>
    </row>
    <row r="170" spans="1:5" x14ac:dyDescent="0.4">
      <c r="A170" s="93" t="s">
        <v>319</v>
      </c>
      <c r="B170" s="97"/>
      <c r="C170" s="95"/>
      <c r="D170" s="98" t="s">
        <v>107</v>
      </c>
      <c r="E170" s="93"/>
    </row>
    <row r="171" spans="1:5" x14ac:dyDescent="0.4">
      <c r="A171" s="93" t="s">
        <v>319</v>
      </c>
      <c r="B171" s="97"/>
      <c r="C171" s="95"/>
      <c r="D171" s="98" t="s">
        <v>108</v>
      </c>
      <c r="E171" s="93"/>
    </row>
    <row r="172" spans="1:5" x14ac:dyDescent="0.4">
      <c r="A172" s="93" t="s">
        <v>319</v>
      </c>
      <c r="B172" s="97"/>
      <c r="C172" s="95"/>
      <c r="D172" s="98" t="s">
        <v>109</v>
      </c>
      <c r="E172" s="93"/>
    </row>
    <row r="173" spans="1:5" x14ac:dyDescent="0.4">
      <c r="A173" s="93" t="s">
        <v>319</v>
      </c>
      <c r="B173" s="97"/>
      <c r="C173" s="95"/>
      <c r="D173" s="98" t="s">
        <v>110</v>
      </c>
      <c r="E173" s="93"/>
    </row>
    <row r="174" spans="1:5" x14ac:dyDescent="0.4">
      <c r="A174" s="93" t="s">
        <v>319</v>
      </c>
      <c r="B174" s="97"/>
      <c r="C174" s="95"/>
      <c r="D174" s="98" t="s">
        <v>96</v>
      </c>
      <c r="E174" s="93"/>
    </row>
    <row r="175" spans="1:5" x14ac:dyDescent="0.4">
      <c r="A175" s="93" t="s">
        <v>319</v>
      </c>
      <c r="B175" s="97"/>
      <c r="C175" s="95"/>
      <c r="D175" s="98" t="s">
        <v>111</v>
      </c>
      <c r="E175" s="93"/>
    </row>
    <row r="176" spans="1:5" x14ac:dyDescent="0.4">
      <c r="A176" s="93" t="s">
        <v>319</v>
      </c>
      <c r="B176" s="97" t="s">
        <v>297</v>
      </c>
      <c r="C176" s="95" t="s">
        <v>112</v>
      </c>
      <c r="D176" s="98" t="s">
        <v>97</v>
      </c>
      <c r="E176" s="93"/>
    </row>
    <row r="177" spans="1:5" x14ac:dyDescent="0.4">
      <c r="A177" s="93" t="s">
        <v>319</v>
      </c>
      <c r="B177" s="97"/>
      <c r="C177" s="95"/>
      <c r="D177" s="98" t="s">
        <v>98</v>
      </c>
      <c r="E177" s="93"/>
    </row>
    <row r="178" spans="1:5" x14ac:dyDescent="0.4">
      <c r="A178" s="93" t="s">
        <v>319</v>
      </c>
      <c r="B178" s="97" t="s">
        <v>297</v>
      </c>
      <c r="C178" s="95" t="s">
        <v>326</v>
      </c>
      <c r="D178" s="108" t="s">
        <v>379</v>
      </c>
      <c r="E178" s="93"/>
    </row>
    <row r="179" spans="1:5" x14ac:dyDescent="0.4">
      <c r="A179" s="93" t="s">
        <v>319</v>
      </c>
      <c r="B179" s="97"/>
      <c r="C179" s="95"/>
      <c r="D179" s="108" t="s">
        <v>380</v>
      </c>
      <c r="E179" s="93"/>
    </row>
    <row r="180" spans="1:5" x14ac:dyDescent="0.4">
      <c r="A180" s="93" t="s">
        <v>319</v>
      </c>
      <c r="B180" s="97"/>
      <c r="C180" s="95"/>
      <c r="D180" s="108" t="s">
        <v>381</v>
      </c>
      <c r="E180" s="93"/>
    </row>
    <row r="181" spans="1:5" x14ac:dyDescent="0.4">
      <c r="A181" s="93" t="s">
        <v>319</v>
      </c>
      <c r="B181" s="97"/>
      <c r="C181" s="95"/>
      <c r="D181" s="108" t="s">
        <v>382</v>
      </c>
      <c r="E181" s="93"/>
    </row>
    <row r="182" spans="1:5" x14ac:dyDescent="0.4">
      <c r="A182" s="93" t="s">
        <v>319</v>
      </c>
      <c r="B182" s="97"/>
      <c r="C182" s="95"/>
      <c r="D182" s="108" t="s">
        <v>383</v>
      </c>
      <c r="E182" s="93"/>
    </row>
    <row r="183" spans="1:5" x14ac:dyDescent="0.4">
      <c r="A183" s="93" t="s">
        <v>319</v>
      </c>
      <c r="B183" s="97"/>
      <c r="C183" s="95"/>
      <c r="D183" s="108" t="s">
        <v>384</v>
      </c>
      <c r="E183" s="93"/>
    </row>
    <row r="184" spans="1:5" x14ac:dyDescent="0.4">
      <c r="A184" s="93" t="s">
        <v>319</v>
      </c>
      <c r="B184" s="97"/>
      <c r="C184" s="95"/>
      <c r="D184" s="108" t="s">
        <v>385</v>
      </c>
      <c r="E184" s="93"/>
    </row>
    <row r="185" spans="1:5" x14ac:dyDescent="0.4">
      <c r="A185" s="93" t="s">
        <v>319</v>
      </c>
      <c r="B185" s="97"/>
      <c r="C185" s="95"/>
      <c r="D185" s="108" t="s">
        <v>386</v>
      </c>
      <c r="E185" s="93"/>
    </row>
    <row r="186" spans="1:5" x14ac:dyDescent="0.4">
      <c r="A186" s="93" t="s">
        <v>319</v>
      </c>
      <c r="B186" s="97"/>
      <c r="C186" s="95"/>
      <c r="D186" s="108" t="s">
        <v>387</v>
      </c>
      <c r="E186" s="93"/>
    </row>
    <row r="187" spans="1:5" x14ac:dyDescent="0.4">
      <c r="A187" s="93" t="s">
        <v>319</v>
      </c>
      <c r="B187" s="97"/>
      <c r="C187" s="95"/>
      <c r="D187" s="108" t="s">
        <v>338</v>
      </c>
      <c r="E187" s="93"/>
    </row>
    <row r="188" spans="1:5" x14ac:dyDescent="0.4">
      <c r="A188" s="93" t="s">
        <v>319</v>
      </c>
      <c r="B188" s="97" t="s">
        <v>297</v>
      </c>
      <c r="C188" s="95" t="s">
        <v>373</v>
      </c>
      <c r="D188" s="98" t="s">
        <v>97</v>
      </c>
      <c r="E188" s="93"/>
    </row>
    <row r="189" spans="1:5" x14ac:dyDescent="0.4">
      <c r="A189" s="93" t="s">
        <v>319</v>
      </c>
      <c r="B189" s="97"/>
      <c r="C189" s="95"/>
      <c r="D189" s="98" t="s">
        <v>98</v>
      </c>
      <c r="E189" s="93"/>
    </row>
    <row r="190" spans="1:5" x14ac:dyDescent="0.4">
      <c r="A190" s="93" t="s">
        <v>319</v>
      </c>
      <c r="B190" s="97" t="s">
        <v>297</v>
      </c>
      <c r="C190" s="95" t="s">
        <v>374</v>
      </c>
      <c r="D190" s="98">
        <v>1</v>
      </c>
      <c r="E190" s="93"/>
    </row>
    <row r="191" spans="1:5" x14ac:dyDescent="0.4">
      <c r="A191" s="93" t="s">
        <v>319</v>
      </c>
      <c r="B191" s="97"/>
      <c r="C191" s="95"/>
      <c r="D191" s="98">
        <v>2</v>
      </c>
      <c r="E191" s="93"/>
    </row>
    <row r="192" spans="1:5" x14ac:dyDescent="0.4">
      <c r="A192" s="93" t="s">
        <v>319</v>
      </c>
      <c r="B192" s="97"/>
      <c r="C192" s="95"/>
      <c r="D192" s="98">
        <v>3</v>
      </c>
      <c r="E192" s="93"/>
    </row>
    <row r="193" spans="1:5" x14ac:dyDescent="0.4">
      <c r="A193" s="93" t="s">
        <v>319</v>
      </c>
      <c r="B193" s="97"/>
      <c r="C193" s="95"/>
      <c r="D193" s="98">
        <v>4</v>
      </c>
      <c r="E193" s="93"/>
    </row>
    <row r="194" spans="1:5" x14ac:dyDescent="0.4">
      <c r="A194" s="93" t="s">
        <v>319</v>
      </c>
      <c r="B194" s="97"/>
      <c r="C194" s="95"/>
      <c r="D194" s="98">
        <v>5</v>
      </c>
      <c r="E194" s="93"/>
    </row>
    <row r="195" spans="1:5" x14ac:dyDescent="0.4">
      <c r="A195" s="93" t="s">
        <v>319</v>
      </c>
      <c r="B195" s="97" t="s">
        <v>297</v>
      </c>
      <c r="C195" s="95" t="s">
        <v>375</v>
      </c>
      <c r="D195" s="98" t="s">
        <v>376</v>
      </c>
      <c r="E195" s="93"/>
    </row>
    <row r="196" spans="1:5" x14ac:dyDescent="0.4">
      <c r="A196" s="93" t="s">
        <v>319</v>
      </c>
      <c r="B196" s="97" t="s">
        <v>297</v>
      </c>
      <c r="C196" s="95" t="s">
        <v>113</v>
      </c>
      <c r="D196" s="98" t="s">
        <v>114</v>
      </c>
      <c r="E196" s="93"/>
    </row>
    <row r="197" spans="1:5" x14ac:dyDescent="0.4">
      <c r="A197" s="93" t="s">
        <v>319</v>
      </c>
      <c r="B197" s="97"/>
      <c r="C197" s="95"/>
      <c r="D197" s="98" t="s">
        <v>115</v>
      </c>
      <c r="E197" s="93"/>
    </row>
    <row r="198" spans="1:5" x14ac:dyDescent="0.4">
      <c r="A198" s="93" t="s">
        <v>319</v>
      </c>
      <c r="B198" s="97" t="s">
        <v>297</v>
      </c>
      <c r="C198" s="95" t="s">
        <v>116</v>
      </c>
      <c r="D198" s="98" t="s">
        <v>117</v>
      </c>
      <c r="E198" s="93"/>
    </row>
    <row r="199" spans="1:5" x14ac:dyDescent="0.4">
      <c r="A199" s="93" t="s">
        <v>319</v>
      </c>
      <c r="B199" s="101"/>
      <c r="C199" s="102"/>
      <c r="D199" s="103" t="s">
        <v>118</v>
      </c>
      <c r="E199" s="93"/>
    </row>
    <row r="200" spans="1:5" x14ac:dyDescent="0.4">
      <c r="A200" s="93" t="s">
        <v>319</v>
      </c>
      <c r="B200" s="94" t="s">
        <v>298</v>
      </c>
      <c r="C200" s="95" t="s">
        <v>119</v>
      </c>
      <c r="D200" s="96" t="s">
        <v>120</v>
      </c>
      <c r="E200" s="93"/>
    </row>
    <row r="201" spans="1:5" x14ac:dyDescent="0.4">
      <c r="A201" s="93" t="s">
        <v>319</v>
      </c>
      <c r="B201" s="94" t="s">
        <v>298</v>
      </c>
      <c r="C201" s="95" t="s">
        <v>121</v>
      </c>
      <c r="D201" s="96" t="s">
        <v>117</v>
      </c>
      <c r="E201" s="93"/>
    </row>
    <row r="202" spans="1:5" x14ac:dyDescent="0.4">
      <c r="A202" s="93" t="s">
        <v>319</v>
      </c>
      <c r="B202" s="94"/>
      <c r="C202" s="95"/>
      <c r="D202" s="96" t="s">
        <v>118</v>
      </c>
      <c r="E202" s="93"/>
    </row>
    <row r="203" spans="1:5" x14ac:dyDescent="0.4">
      <c r="A203" s="93" t="s">
        <v>319</v>
      </c>
      <c r="B203" s="94" t="s">
        <v>298</v>
      </c>
      <c r="C203" s="95" t="s">
        <v>122</v>
      </c>
      <c r="D203" s="96" t="s">
        <v>123</v>
      </c>
      <c r="E203" s="93"/>
    </row>
    <row r="204" spans="1:5" x14ac:dyDescent="0.4">
      <c r="A204" s="93" t="s">
        <v>319</v>
      </c>
      <c r="B204" s="94"/>
      <c r="C204" s="95"/>
      <c r="D204" s="96" t="s">
        <v>115</v>
      </c>
      <c r="E204" s="93"/>
    </row>
    <row r="205" spans="1:5" x14ac:dyDescent="0.4">
      <c r="A205" s="93" t="s">
        <v>319</v>
      </c>
      <c r="B205" s="94" t="s">
        <v>298</v>
      </c>
      <c r="C205" s="95" t="s">
        <v>124</v>
      </c>
      <c r="D205" s="96" t="s">
        <v>125</v>
      </c>
      <c r="E205" s="93"/>
    </row>
    <row r="206" spans="1:5" x14ac:dyDescent="0.4">
      <c r="A206" s="93" t="s">
        <v>319</v>
      </c>
      <c r="B206" s="94"/>
      <c r="C206" s="95"/>
      <c r="D206" s="96" t="s">
        <v>126</v>
      </c>
      <c r="E206" s="93"/>
    </row>
    <row r="207" spans="1:5" x14ac:dyDescent="0.4">
      <c r="A207" s="93" t="s">
        <v>319</v>
      </c>
      <c r="B207" s="94" t="s">
        <v>298</v>
      </c>
      <c r="C207" s="95" t="s">
        <v>127</v>
      </c>
      <c r="D207" s="96" t="s">
        <v>97</v>
      </c>
      <c r="E207" s="93"/>
    </row>
    <row r="208" spans="1:5" x14ac:dyDescent="0.4">
      <c r="A208" s="93" t="s">
        <v>319</v>
      </c>
      <c r="B208" s="94"/>
      <c r="C208" s="95"/>
      <c r="D208" s="96" t="s">
        <v>128</v>
      </c>
      <c r="E208" s="93"/>
    </row>
    <row r="209" spans="1:5" x14ac:dyDescent="0.4">
      <c r="A209" s="93" t="s">
        <v>319</v>
      </c>
      <c r="B209" s="94"/>
      <c r="C209" s="95"/>
      <c r="D209" s="96" t="s">
        <v>129</v>
      </c>
      <c r="E209" s="93"/>
    </row>
    <row r="210" spans="1:5" x14ac:dyDescent="0.4">
      <c r="A210" s="93" t="s">
        <v>319</v>
      </c>
      <c r="B210" s="94" t="s">
        <v>298</v>
      </c>
      <c r="C210" s="95" t="s">
        <v>420</v>
      </c>
      <c r="D210" s="96">
        <v>99</v>
      </c>
      <c r="E210" s="93" t="s">
        <v>134</v>
      </c>
    </row>
    <row r="211" spans="1:5" x14ac:dyDescent="0.4">
      <c r="A211" s="93" t="s">
        <v>319</v>
      </c>
      <c r="B211" s="94" t="s">
        <v>298</v>
      </c>
      <c r="C211" s="95" t="s">
        <v>421</v>
      </c>
      <c r="D211" s="96">
        <v>99</v>
      </c>
      <c r="E211" s="93" t="s">
        <v>134</v>
      </c>
    </row>
    <row r="212" spans="1:5" x14ac:dyDescent="0.4">
      <c r="A212" s="93" t="s">
        <v>319</v>
      </c>
      <c r="B212" s="94" t="s">
        <v>298</v>
      </c>
      <c r="C212" s="95" t="s">
        <v>422</v>
      </c>
      <c r="D212" s="96">
        <v>99</v>
      </c>
      <c r="E212" s="93" t="s">
        <v>388</v>
      </c>
    </row>
    <row r="213" spans="1:5" x14ac:dyDescent="0.4">
      <c r="A213" s="93" t="s">
        <v>319</v>
      </c>
      <c r="B213" s="94" t="s">
        <v>298</v>
      </c>
      <c r="C213" s="95" t="s">
        <v>423</v>
      </c>
      <c r="D213" s="96">
        <v>99</v>
      </c>
      <c r="E213" s="93" t="s">
        <v>134</v>
      </c>
    </row>
    <row r="214" spans="1:5" x14ac:dyDescent="0.4">
      <c r="A214" s="93" t="s">
        <v>319</v>
      </c>
      <c r="B214" s="94" t="s">
        <v>298</v>
      </c>
      <c r="C214" s="95" t="s">
        <v>424</v>
      </c>
      <c r="D214" s="96">
        <v>99</v>
      </c>
      <c r="E214" s="93" t="s">
        <v>134</v>
      </c>
    </row>
    <row r="215" spans="1:5" x14ac:dyDescent="0.4">
      <c r="A215" s="93" t="s">
        <v>319</v>
      </c>
      <c r="B215" s="94" t="s">
        <v>298</v>
      </c>
      <c r="C215" s="95" t="s">
        <v>425</v>
      </c>
      <c r="D215" s="96">
        <v>99</v>
      </c>
      <c r="E215" s="93" t="s">
        <v>134</v>
      </c>
    </row>
    <row r="216" spans="1:5" x14ac:dyDescent="0.4">
      <c r="A216" s="93" t="s">
        <v>319</v>
      </c>
      <c r="B216" s="94" t="s">
        <v>298</v>
      </c>
      <c r="C216" s="95" t="s">
        <v>426</v>
      </c>
      <c r="D216" s="96">
        <v>99</v>
      </c>
      <c r="E216" s="93" t="s">
        <v>388</v>
      </c>
    </row>
    <row r="217" spans="1:5" x14ac:dyDescent="0.4">
      <c r="A217" s="93" t="s">
        <v>319</v>
      </c>
      <c r="B217" s="94" t="s">
        <v>298</v>
      </c>
      <c r="C217" s="95" t="s">
        <v>427</v>
      </c>
      <c r="D217" s="96">
        <v>99</v>
      </c>
      <c r="E217" s="93" t="s">
        <v>134</v>
      </c>
    </row>
    <row r="218" spans="1:5" x14ac:dyDescent="0.4">
      <c r="A218" s="93" t="s">
        <v>319</v>
      </c>
      <c r="B218" s="94" t="s">
        <v>298</v>
      </c>
      <c r="C218" s="95" t="s">
        <v>130</v>
      </c>
      <c r="D218" s="96" t="s">
        <v>97</v>
      </c>
      <c r="E218" s="93"/>
    </row>
    <row r="219" spans="1:5" x14ac:dyDescent="0.4">
      <c r="A219" s="93" t="s">
        <v>319</v>
      </c>
      <c r="B219" s="94"/>
      <c r="C219" s="95"/>
      <c r="D219" s="96" t="s">
        <v>98</v>
      </c>
      <c r="E219" s="95"/>
    </row>
    <row r="220" spans="1:5" x14ac:dyDescent="0.4">
      <c r="A220" s="105" t="s">
        <v>319</v>
      </c>
      <c r="B220" s="104" t="s">
        <v>298</v>
      </c>
      <c r="C220" s="105" t="s">
        <v>389</v>
      </c>
      <c r="D220" s="106">
        <v>99</v>
      </c>
      <c r="E220" s="105" t="s">
        <v>388</v>
      </c>
    </row>
  </sheetData>
  <phoneticPr fontId="1"/>
  <conditionalFormatting sqref="D1:D1048576">
    <cfRule type="duplicateValues" dxfId="2" priority="2"/>
  </conditionalFormatting>
  <conditionalFormatting sqref="C1:C1048576">
    <cfRule type="duplicateValues" dxfId="1" priority="1"/>
  </conditionalFormatting>
  <pageMargins left="0.7" right="0.7" top="0.75" bottom="0.75" header="0.3" footer="0.3"/>
  <pageSetup paperSize="9" orientation="portrait" horizontalDpi="1200" verticalDpi="1200" r:id="rId1"/>
  <ignoredErrors>
    <ignoredError sqref="D103:D112 D90 D82 D93:D102" numberStoredAsText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A753-7803-4E97-A16D-668234E35537}">
  <sheetPr codeName="Sheet21"/>
  <dimension ref="A1:H220"/>
  <sheetViews>
    <sheetView topLeftCell="A50" workbookViewId="0">
      <selection activeCell="E67" sqref="E67"/>
    </sheetView>
  </sheetViews>
  <sheetFormatPr defaultRowHeight="16.5" x14ac:dyDescent="0.4"/>
  <cols>
    <col min="1" max="1" width="6.25" style="4" bestFit="1" customWidth="1"/>
    <col min="2" max="2" width="8.25" style="26" bestFit="1" customWidth="1"/>
    <col min="3" max="3" width="44.125" style="26" bestFit="1" customWidth="1"/>
    <col min="4" max="4" width="56.25" style="26" bestFit="1" customWidth="1"/>
    <col min="5" max="5" width="71.25" style="26" bestFit="1" customWidth="1"/>
    <col min="6" max="6" width="51.75" style="26" bestFit="1" customWidth="1"/>
    <col min="7" max="7" width="9" style="26" bestFit="1" customWidth="1"/>
    <col min="8" max="8" width="8.75" style="26" bestFit="1" customWidth="1"/>
    <col min="9" max="16384" width="9" style="26"/>
  </cols>
  <sheetData>
    <row r="1" spans="1:8" x14ac:dyDescent="0.4">
      <c r="A1" s="21" t="s">
        <v>157</v>
      </c>
      <c r="B1" s="21" t="s">
        <v>273</v>
      </c>
      <c r="C1" s="21" t="s">
        <v>159</v>
      </c>
      <c r="D1" s="21" t="s">
        <v>155</v>
      </c>
      <c r="E1" s="21" t="s">
        <v>193</v>
      </c>
      <c r="F1" s="21" t="s">
        <v>194</v>
      </c>
      <c r="G1" s="21" t="s">
        <v>174</v>
      </c>
      <c r="H1" s="21" t="s">
        <v>215</v>
      </c>
    </row>
    <row r="2" spans="1:8" x14ac:dyDescent="0.4">
      <c r="A2" s="4">
        <f>ROW()-1</f>
        <v>1</v>
      </c>
      <c r="B2" s="26" t="s">
        <v>171</v>
      </c>
      <c r="C2" s="26" t="s">
        <v>145</v>
      </c>
      <c r="D2" s="26" t="s">
        <v>3</v>
      </c>
      <c r="G2" s="26" t="str">
        <f>LEFT(C2, FIND("_", C2) - 1)</f>
        <v>基本01</v>
      </c>
      <c r="H2" s="26" t="str">
        <f>テーブル2[[#This Row],[Sheet]]&amp;TEXT(ROW()-1,"00")</f>
        <v>基本01</v>
      </c>
    </row>
    <row r="3" spans="1:8" x14ac:dyDescent="0.4">
      <c r="A3" s="4">
        <f t="shared" ref="A3:A30" si="0">ROW()-1</f>
        <v>2</v>
      </c>
      <c r="B3" s="26" t="s">
        <v>170</v>
      </c>
      <c r="C3" s="26" t="s">
        <v>146</v>
      </c>
      <c r="D3" s="26" t="s">
        <v>172</v>
      </c>
      <c r="G3" s="26" t="str">
        <f t="shared" ref="G3:G31" si="1">LEFT(C3, FIND("_", C3) - 1)</f>
        <v>基本02</v>
      </c>
      <c r="H3" s="26" t="str">
        <f>テーブル2[[#This Row],[Sheet]]&amp;TEXT(ROW()-1,"00")</f>
        <v>基本02</v>
      </c>
    </row>
    <row r="4" spans="1:8" x14ac:dyDescent="0.4">
      <c r="A4" s="4">
        <f t="shared" si="0"/>
        <v>3</v>
      </c>
      <c r="B4" s="26" t="s">
        <v>170</v>
      </c>
      <c r="C4" s="26" t="s">
        <v>144</v>
      </c>
      <c r="D4" s="26" t="s">
        <v>156</v>
      </c>
      <c r="G4" s="26" t="str">
        <f t="shared" si="1"/>
        <v>基本03</v>
      </c>
      <c r="H4" s="26" t="str">
        <f>テーブル2[[#This Row],[Sheet]]&amp;TEXT(ROW()-1,"00")</f>
        <v>基本03</v>
      </c>
    </row>
    <row r="5" spans="1:8" x14ac:dyDescent="0.4">
      <c r="A5" s="4">
        <f t="shared" si="0"/>
        <v>4</v>
      </c>
      <c r="B5" s="26" t="s">
        <v>170</v>
      </c>
      <c r="C5" s="26" t="s">
        <v>143</v>
      </c>
      <c r="D5" s="26" t="s">
        <v>169</v>
      </c>
      <c r="G5" s="26" t="str">
        <f t="shared" si="1"/>
        <v>基本03</v>
      </c>
      <c r="H5" s="26" t="str">
        <f>テーブル2[[#This Row],[Sheet]]&amp;TEXT(ROW()-1,"00")</f>
        <v>基本04</v>
      </c>
    </row>
    <row r="6" spans="1:8" x14ac:dyDescent="0.4">
      <c r="A6" s="4">
        <f t="shared" si="0"/>
        <v>5</v>
      </c>
      <c r="B6" s="26" t="s">
        <v>170</v>
      </c>
      <c r="C6" s="26" t="s">
        <v>148</v>
      </c>
      <c r="D6" s="26" t="s">
        <v>4</v>
      </c>
      <c r="E6" s="26" t="s">
        <v>217</v>
      </c>
      <c r="F6" s="26" t="s">
        <v>199</v>
      </c>
      <c r="G6" s="26" t="str">
        <f t="shared" si="1"/>
        <v>基本04</v>
      </c>
      <c r="H6" s="26" t="str">
        <f>テーブル2[[#This Row],[Sheet]]&amp;TEXT(ROW()-1,"00")</f>
        <v>基本05</v>
      </c>
    </row>
    <row r="7" spans="1:8" x14ac:dyDescent="0.4">
      <c r="A7" s="4">
        <f t="shared" si="0"/>
        <v>6</v>
      </c>
      <c r="B7" s="26" t="s">
        <v>171</v>
      </c>
      <c r="C7" s="26" t="s">
        <v>147</v>
      </c>
      <c r="D7" s="26" t="s">
        <v>5</v>
      </c>
      <c r="E7" s="26" t="s">
        <v>217</v>
      </c>
      <c r="F7" s="26" t="s">
        <v>200</v>
      </c>
      <c r="G7" s="26" t="str">
        <f t="shared" si="1"/>
        <v>基本04</v>
      </c>
      <c r="H7" s="26" t="str">
        <f>テーブル2[[#This Row],[Sheet]]&amp;TEXT(ROW()-1,"00")</f>
        <v>基本06</v>
      </c>
    </row>
    <row r="8" spans="1:8" x14ac:dyDescent="0.4">
      <c r="A8" s="4">
        <f t="shared" si="0"/>
        <v>7</v>
      </c>
      <c r="B8" s="26" t="s">
        <v>170</v>
      </c>
      <c r="C8" s="26" t="s">
        <v>149</v>
      </c>
      <c r="D8" s="26" t="s">
        <v>36</v>
      </c>
      <c r="E8" s="26" t="s">
        <v>197</v>
      </c>
      <c r="F8" s="26" t="s">
        <v>198</v>
      </c>
      <c r="G8" s="26" t="str">
        <f t="shared" si="1"/>
        <v>基本05</v>
      </c>
      <c r="H8" s="26" t="str">
        <f>テーブル2[[#This Row],[Sheet]]&amp;TEXT(ROW()-1,"00")</f>
        <v>基本07</v>
      </c>
    </row>
    <row r="9" spans="1:8" x14ac:dyDescent="0.4">
      <c r="A9" s="4">
        <f t="shared" si="0"/>
        <v>8</v>
      </c>
      <c r="B9" s="26" t="s">
        <v>170</v>
      </c>
      <c r="C9" s="26" t="s">
        <v>149</v>
      </c>
      <c r="D9" s="26" t="s">
        <v>37</v>
      </c>
      <c r="E9" s="26" t="s">
        <v>197</v>
      </c>
      <c r="F9" s="26" t="s">
        <v>216</v>
      </c>
      <c r="G9" s="26" t="str">
        <f t="shared" si="1"/>
        <v>基本05</v>
      </c>
      <c r="H9" s="26" t="str">
        <f>テーブル2[[#This Row],[Sheet]]&amp;TEXT(ROW()-1,"00")</f>
        <v>基本08</v>
      </c>
    </row>
    <row r="10" spans="1:8" x14ac:dyDescent="0.4">
      <c r="A10" s="4">
        <f t="shared" si="0"/>
        <v>9</v>
      </c>
      <c r="B10" s="26" t="s">
        <v>170</v>
      </c>
      <c r="C10" s="26" t="s">
        <v>178</v>
      </c>
      <c r="D10" s="26" t="s">
        <v>189</v>
      </c>
      <c r="E10" s="26" t="s">
        <v>195</v>
      </c>
      <c r="F10" s="26" t="s">
        <v>201</v>
      </c>
      <c r="G10" s="26" t="str">
        <f t="shared" si="1"/>
        <v>基本06</v>
      </c>
      <c r="H10" s="26" t="str">
        <f>テーブル2[[#This Row],[Sheet]]&amp;TEXT(ROW()-1,"00")</f>
        <v>基本09</v>
      </c>
    </row>
    <row r="11" spans="1:8" x14ac:dyDescent="0.4">
      <c r="A11" s="4">
        <f t="shared" si="0"/>
        <v>10</v>
      </c>
      <c r="B11" s="26" t="s">
        <v>170</v>
      </c>
      <c r="C11" s="26" t="s">
        <v>178</v>
      </c>
      <c r="D11" s="26" t="s">
        <v>190</v>
      </c>
      <c r="E11" s="26" t="s">
        <v>195</v>
      </c>
      <c r="F11" s="26" t="s">
        <v>196</v>
      </c>
      <c r="G11" s="26" t="str">
        <f t="shared" si="1"/>
        <v>基本06</v>
      </c>
      <c r="H11" s="26" t="str">
        <f>テーブル2[[#This Row],[Sheet]]&amp;TEXT(ROW()-1,"00")</f>
        <v>基本10</v>
      </c>
    </row>
    <row r="12" spans="1:8" x14ac:dyDescent="0.4">
      <c r="A12" s="4">
        <f t="shared" si="0"/>
        <v>11</v>
      </c>
      <c r="B12" s="26" t="s">
        <v>170</v>
      </c>
      <c r="C12" s="26" t="s">
        <v>179</v>
      </c>
      <c r="D12" s="26" t="s">
        <v>191</v>
      </c>
      <c r="F12" s="25"/>
      <c r="G12" s="26" t="str">
        <f t="shared" si="1"/>
        <v>基本07</v>
      </c>
      <c r="H12" s="26" t="str">
        <f>テーブル2[[#This Row],[Sheet]]&amp;TEXT(ROW()-1,"00")</f>
        <v>基本11</v>
      </c>
    </row>
    <row r="13" spans="1:8" x14ac:dyDescent="0.4">
      <c r="A13" s="4">
        <f t="shared" si="0"/>
        <v>12</v>
      </c>
      <c r="B13" s="26" t="s">
        <v>170</v>
      </c>
      <c r="C13" s="26" t="s">
        <v>179</v>
      </c>
      <c r="D13" s="26" t="s">
        <v>192</v>
      </c>
      <c r="F13" s="25"/>
      <c r="G13" s="26" t="str">
        <f t="shared" si="1"/>
        <v>基本07</v>
      </c>
      <c r="H13" s="26" t="str">
        <f>テーブル2[[#This Row],[Sheet]]&amp;TEXT(ROW()-1,"00")</f>
        <v>基本12</v>
      </c>
    </row>
    <row r="14" spans="1:8" x14ac:dyDescent="0.4">
      <c r="A14" s="4">
        <f t="shared" si="0"/>
        <v>13</v>
      </c>
      <c r="B14" s="26" t="s">
        <v>170</v>
      </c>
      <c r="C14" s="26" t="s">
        <v>175</v>
      </c>
      <c r="D14" s="27">
        <v>29.81</v>
      </c>
      <c r="F14" s="25"/>
      <c r="G14" s="26" t="str">
        <f t="shared" si="1"/>
        <v>基本08</v>
      </c>
      <c r="H14" s="26" t="str">
        <f>テーブル2[[#This Row],[Sheet]]&amp;TEXT(ROW()-1,"00")</f>
        <v>基本13</v>
      </c>
    </row>
    <row r="15" spans="1:8" x14ac:dyDescent="0.4">
      <c r="A15" s="4">
        <f t="shared" si="0"/>
        <v>14</v>
      </c>
      <c r="B15" s="26" t="s">
        <v>170</v>
      </c>
      <c r="C15" s="26" t="s">
        <v>180</v>
      </c>
      <c r="D15" s="27">
        <v>51.34</v>
      </c>
      <c r="F15" s="25"/>
      <c r="G15" s="26" t="str">
        <f t="shared" si="1"/>
        <v>基本09</v>
      </c>
      <c r="H15" s="26" t="str">
        <f>テーブル2[[#This Row],[Sheet]]&amp;TEXT(ROW()-1,"00")</f>
        <v>基本14</v>
      </c>
    </row>
    <row r="16" spans="1:8" x14ac:dyDescent="0.4">
      <c r="A16" s="4">
        <f t="shared" si="0"/>
        <v>15</v>
      </c>
      <c r="B16" s="26" t="s">
        <v>170</v>
      </c>
      <c r="C16" s="26" t="s">
        <v>181</v>
      </c>
      <c r="D16" s="27">
        <v>120.08</v>
      </c>
      <c r="F16" s="25"/>
      <c r="G16" s="26" t="str">
        <f t="shared" si="1"/>
        <v>基本10</v>
      </c>
      <c r="H16" s="26" t="str">
        <f>テーブル2[[#This Row],[Sheet]]&amp;TEXT(ROW()-1,"00")</f>
        <v>基本15</v>
      </c>
    </row>
    <row r="17" spans="1:8" x14ac:dyDescent="0.4">
      <c r="A17" s="4">
        <f t="shared" si="0"/>
        <v>16</v>
      </c>
      <c r="B17" s="26" t="s">
        <v>170</v>
      </c>
      <c r="C17" s="26" t="s">
        <v>182</v>
      </c>
      <c r="D17" s="26" t="s">
        <v>41</v>
      </c>
      <c r="F17" s="25"/>
      <c r="G17" s="26" t="str">
        <f t="shared" si="1"/>
        <v>基本11</v>
      </c>
      <c r="H17" s="26" t="str">
        <f>テーブル2[[#This Row],[Sheet]]&amp;TEXT(ROW()-1,"00")</f>
        <v>基本16</v>
      </c>
    </row>
    <row r="18" spans="1:8" x14ac:dyDescent="0.4">
      <c r="A18" s="4">
        <f t="shared" si="0"/>
        <v>17</v>
      </c>
      <c r="B18" s="26" t="s">
        <v>170</v>
      </c>
      <c r="C18" s="26" t="s">
        <v>182</v>
      </c>
      <c r="D18" s="26" t="s">
        <v>42</v>
      </c>
      <c r="F18" s="25"/>
      <c r="G18" s="26" t="str">
        <f t="shared" si="1"/>
        <v>基本11</v>
      </c>
      <c r="H18" s="26" t="str">
        <f>テーブル2[[#This Row],[Sheet]]&amp;TEXT(ROW()-1,"00")</f>
        <v>基本17</v>
      </c>
    </row>
    <row r="19" spans="1:8" x14ac:dyDescent="0.4">
      <c r="A19" s="4">
        <f t="shared" si="0"/>
        <v>18</v>
      </c>
      <c r="B19" s="26" t="s">
        <v>170</v>
      </c>
      <c r="C19" s="26" t="s">
        <v>182</v>
      </c>
      <c r="D19" s="26" t="s">
        <v>43</v>
      </c>
      <c r="F19" s="25"/>
      <c r="G19" s="26" t="str">
        <f t="shared" si="1"/>
        <v>基本11</v>
      </c>
      <c r="H19" s="26" t="str">
        <f>テーブル2[[#This Row],[Sheet]]&amp;TEXT(ROW()-1,"00")</f>
        <v>基本18</v>
      </c>
    </row>
    <row r="20" spans="1:8" x14ac:dyDescent="0.4">
      <c r="A20" s="4">
        <f t="shared" si="0"/>
        <v>19</v>
      </c>
      <c r="B20" s="26" t="s">
        <v>170</v>
      </c>
      <c r="C20" s="26" t="s">
        <v>182</v>
      </c>
      <c r="D20" s="26" t="s">
        <v>44</v>
      </c>
      <c r="F20" s="25"/>
      <c r="G20" s="26" t="str">
        <f t="shared" si="1"/>
        <v>基本11</v>
      </c>
      <c r="H20" s="26" t="str">
        <f>テーブル2[[#This Row],[Sheet]]&amp;TEXT(ROW()-1,"00")</f>
        <v>基本19</v>
      </c>
    </row>
    <row r="21" spans="1:8" x14ac:dyDescent="0.4">
      <c r="A21" s="4">
        <f t="shared" si="0"/>
        <v>20</v>
      </c>
      <c r="B21" s="26" t="s">
        <v>170</v>
      </c>
      <c r="C21" s="26" t="s">
        <v>182</v>
      </c>
      <c r="D21" s="26" t="s">
        <v>45</v>
      </c>
      <c r="F21" s="25"/>
      <c r="G21" s="26" t="str">
        <f t="shared" si="1"/>
        <v>基本11</v>
      </c>
      <c r="H21" s="26" t="str">
        <f>テーブル2[[#This Row],[Sheet]]&amp;TEXT(ROW()-1,"00")</f>
        <v>基本20</v>
      </c>
    </row>
    <row r="22" spans="1:8" x14ac:dyDescent="0.4">
      <c r="A22" s="4">
        <f t="shared" si="0"/>
        <v>21</v>
      </c>
      <c r="B22" s="26" t="s">
        <v>170</v>
      </c>
      <c r="C22" s="26" t="s">
        <v>182</v>
      </c>
      <c r="D22" s="26" t="s">
        <v>274</v>
      </c>
      <c r="F22" s="25"/>
      <c r="G22" s="26" t="str">
        <f t="shared" si="1"/>
        <v>基本11</v>
      </c>
      <c r="H22" s="26" t="str">
        <f>テーブル2[[#This Row],[Sheet]]&amp;TEXT(ROW()-1,"00")</f>
        <v>基本21</v>
      </c>
    </row>
    <row r="23" spans="1:8" x14ac:dyDescent="0.4">
      <c r="A23" s="4">
        <f t="shared" si="0"/>
        <v>22</v>
      </c>
      <c r="B23" s="26" t="s">
        <v>170</v>
      </c>
      <c r="C23" s="26" t="s">
        <v>182</v>
      </c>
      <c r="D23" s="26" t="s">
        <v>47</v>
      </c>
      <c r="F23" s="25"/>
      <c r="G23" s="26" t="str">
        <f t="shared" si="1"/>
        <v>基本11</v>
      </c>
      <c r="H23" s="26" t="str">
        <f>テーブル2[[#This Row],[Sheet]]&amp;TEXT(ROW()-1,"00")</f>
        <v>基本22</v>
      </c>
    </row>
    <row r="24" spans="1:8" x14ac:dyDescent="0.4">
      <c r="A24" s="4">
        <f t="shared" si="0"/>
        <v>23</v>
      </c>
      <c r="B24" s="26" t="s">
        <v>170</v>
      </c>
      <c r="C24" s="26" t="s">
        <v>182</v>
      </c>
      <c r="D24" s="26" t="s">
        <v>48</v>
      </c>
      <c r="F24" s="25"/>
      <c r="G24" s="26" t="str">
        <f t="shared" si="1"/>
        <v>基本11</v>
      </c>
      <c r="H24" s="26" t="str">
        <f>テーブル2[[#This Row],[Sheet]]&amp;TEXT(ROW()-1,"00")</f>
        <v>基本23</v>
      </c>
    </row>
    <row r="25" spans="1:8" s="28" customFormat="1" x14ac:dyDescent="0.4">
      <c r="A25" s="4">
        <f t="shared" si="0"/>
        <v>24</v>
      </c>
      <c r="B25" s="28" t="s">
        <v>170</v>
      </c>
      <c r="C25" s="28" t="s">
        <v>183</v>
      </c>
      <c r="D25" s="28" t="s">
        <v>49</v>
      </c>
      <c r="E25" s="28" t="s">
        <v>187</v>
      </c>
      <c r="F25" s="28" t="s">
        <v>186</v>
      </c>
      <c r="G25" s="28" t="str">
        <f t="shared" si="1"/>
        <v>基本12</v>
      </c>
      <c r="H25" s="26" t="str">
        <f>テーブル2[[#This Row],[Sheet]]&amp;TEXT(ROW()-1,"00")</f>
        <v>基本24</v>
      </c>
    </row>
    <row r="26" spans="1:8" s="28" customFormat="1" x14ac:dyDescent="0.4">
      <c r="A26" s="4">
        <f t="shared" si="0"/>
        <v>25</v>
      </c>
      <c r="B26" s="28" t="s">
        <v>170</v>
      </c>
      <c r="C26" s="28" t="s">
        <v>183</v>
      </c>
      <c r="D26" s="28" t="s">
        <v>173</v>
      </c>
      <c r="E26" s="28" t="s">
        <v>187</v>
      </c>
      <c r="F26" s="28" t="s">
        <v>188</v>
      </c>
      <c r="G26" s="28" t="str">
        <f t="shared" si="1"/>
        <v>基本12</v>
      </c>
      <c r="H26" s="26" t="str">
        <f>テーブル2[[#This Row],[Sheet]]&amp;TEXT(ROW()-1,"00")</f>
        <v>基本25</v>
      </c>
    </row>
    <row r="27" spans="1:8" x14ac:dyDescent="0.4">
      <c r="A27" s="4">
        <f t="shared" si="0"/>
        <v>26</v>
      </c>
      <c r="B27" s="26" t="s">
        <v>170</v>
      </c>
      <c r="C27" s="26" t="s">
        <v>184</v>
      </c>
      <c r="D27" s="26" t="s">
        <v>50</v>
      </c>
      <c r="E27" s="28"/>
      <c r="F27" s="28"/>
      <c r="G27" s="26" t="str">
        <f t="shared" si="1"/>
        <v>基本13</v>
      </c>
      <c r="H27" s="26" t="str">
        <f>テーブル2[[#This Row],[Sheet]]&amp;TEXT(ROW()-1,"00")</f>
        <v>基本26</v>
      </c>
    </row>
    <row r="28" spans="1:8" x14ac:dyDescent="0.4">
      <c r="A28" s="4">
        <f t="shared" si="0"/>
        <v>27</v>
      </c>
      <c r="B28" s="26" t="s">
        <v>170</v>
      </c>
      <c r="C28" s="26" t="s">
        <v>184</v>
      </c>
      <c r="D28" s="26" t="s">
        <v>51</v>
      </c>
      <c r="E28" s="28"/>
      <c r="F28" s="28"/>
      <c r="G28" s="26" t="str">
        <f t="shared" si="1"/>
        <v>基本13</v>
      </c>
      <c r="H28" s="26" t="str">
        <f>テーブル2[[#This Row],[Sheet]]&amp;TEXT(ROW()-1,"00")</f>
        <v>基本27</v>
      </c>
    </row>
    <row r="29" spans="1:8" x14ac:dyDescent="0.4">
      <c r="A29" s="4">
        <f t="shared" si="0"/>
        <v>28</v>
      </c>
      <c r="B29" s="26" t="s">
        <v>170</v>
      </c>
      <c r="C29" s="26" t="s">
        <v>184</v>
      </c>
      <c r="D29" s="26" t="s">
        <v>52</v>
      </c>
      <c r="E29" s="28"/>
      <c r="F29" s="28"/>
      <c r="G29" s="26" t="str">
        <f t="shared" si="1"/>
        <v>基本13</v>
      </c>
      <c r="H29" s="26" t="str">
        <f>テーブル2[[#This Row],[Sheet]]&amp;TEXT(ROW()-1,"00")</f>
        <v>基本28</v>
      </c>
    </row>
    <row r="30" spans="1:8" x14ac:dyDescent="0.4">
      <c r="A30" s="4">
        <f t="shared" si="0"/>
        <v>29</v>
      </c>
      <c r="B30" s="26" t="s">
        <v>170</v>
      </c>
      <c r="C30" s="26" t="s">
        <v>184</v>
      </c>
      <c r="D30" s="26" t="s">
        <v>53</v>
      </c>
      <c r="E30" s="28"/>
      <c r="F30" s="28"/>
      <c r="G30" s="26" t="str">
        <f t="shared" si="1"/>
        <v>基本13</v>
      </c>
      <c r="H30" s="26" t="str">
        <f>テーブル2[[#This Row],[Sheet]]&amp;TEXT(ROW()-1,"00")</f>
        <v>基本29</v>
      </c>
    </row>
    <row r="31" spans="1:8" x14ac:dyDescent="0.4">
      <c r="A31" s="4">
        <f>ROW()-1</f>
        <v>30</v>
      </c>
      <c r="B31" s="26" t="s">
        <v>170</v>
      </c>
      <c r="C31" s="26" t="s">
        <v>184</v>
      </c>
      <c r="D31" s="26" t="s">
        <v>54</v>
      </c>
      <c r="E31" s="28"/>
      <c r="F31" s="28"/>
      <c r="G31" s="26" t="str">
        <f t="shared" si="1"/>
        <v>基本13</v>
      </c>
      <c r="H31" s="26" t="str">
        <f>テーブル2[[#This Row],[Sheet]]&amp;TEXT(ROW()-1,"00")</f>
        <v>基本30</v>
      </c>
    </row>
    <row r="32" spans="1:8" x14ac:dyDescent="0.4">
      <c r="A32" s="84">
        <f t="shared" ref="A32:A64" si="2">ROW()-1</f>
        <v>31</v>
      </c>
      <c r="B32" s="26" t="s">
        <v>58</v>
      </c>
      <c r="C32" s="26" t="str">
        <f>'option-elements'!B65&amp;"_"&amp;'option-elements'!C65</f>
        <v>暖房01_暖房方式</v>
      </c>
      <c r="D32" s="26" t="s">
        <v>65</v>
      </c>
      <c r="E32" s="26" t="s">
        <v>275</v>
      </c>
      <c r="F32" s="26" t="s">
        <v>275</v>
      </c>
      <c r="H32" s="26" t="str">
        <f>テーブル2[[#This Row],[Sheet]]&amp;TEXT(ROW()-31,"00")</f>
        <v>外皮01</v>
      </c>
    </row>
    <row r="33" spans="1:8" x14ac:dyDescent="0.4">
      <c r="A33" s="84">
        <f t="shared" si="2"/>
        <v>32</v>
      </c>
      <c r="B33" s="26" t="s">
        <v>58</v>
      </c>
      <c r="C33" s="26" t="str">
        <f>'option-elements'!B66&amp;"_"&amp;'option-elements'!C66</f>
        <v>_</v>
      </c>
      <c r="D33" s="26" t="s">
        <v>66</v>
      </c>
      <c r="E33" s="26" t="s">
        <v>275</v>
      </c>
      <c r="F33" s="26" t="s">
        <v>276</v>
      </c>
      <c r="H33" s="26" t="str">
        <f>テーブル2[[#This Row],[Sheet]]&amp;TEXT(ROW()-31,"00")</f>
        <v>外皮02</v>
      </c>
    </row>
    <row r="34" spans="1:8" x14ac:dyDescent="0.4">
      <c r="A34" s="84">
        <f t="shared" si="2"/>
        <v>33</v>
      </c>
      <c r="B34" s="26" t="s">
        <v>58</v>
      </c>
      <c r="C34" s="26" t="str">
        <f>'option-elements'!B67&amp;"_"&amp;'option-elements'!C67</f>
        <v>_</v>
      </c>
      <c r="D34" s="26" t="s">
        <v>67</v>
      </c>
      <c r="E34" s="26" t="s">
        <v>275</v>
      </c>
      <c r="F34" s="26" t="s">
        <v>276</v>
      </c>
      <c r="H34" s="26" t="str">
        <f>テーブル2[[#This Row],[Sheet]]&amp;TEXT(ROW()-31,"00")</f>
        <v>外皮03</v>
      </c>
    </row>
    <row r="35" spans="1:8" x14ac:dyDescent="0.4">
      <c r="A35" s="84">
        <f t="shared" si="2"/>
        <v>34</v>
      </c>
      <c r="B35" s="26" t="s">
        <v>58</v>
      </c>
      <c r="C35" s="26" t="str">
        <f>'option-elements'!B68&amp;"_"&amp;'option-elements'!C68</f>
        <v>暖房02_暖房設備機器または放熱器の種類_主たる居室</v>
      </c>
      <c r="D35" s="26" t="s">
        <v>68</v>
      </c>
      <c r="E35" s="26" t="s">
        <v>275</v>
      </c>
      <c r="F35" s="26" t="s">
        <v>280</v>
      </c>
      <c r="H35" s="26" t="str">
        <f>テーブル2[[#This Row],[Sheet]]&amp;TEXT(ROW()-31,"00")</f>
        <v>外皮04</v>
      </c>
    </row>
    <row r="36" spans="1:8" x14ac:dyDescent="0.4">
      <c r="A36" s="84">
        <f t="shared" si="2"/>
        <v>35</v>
      </c>
      <c r="B36" s="26" t="s">
        <v>58</v>
      </c>
      <c r="C36" s="26" t="str">
        <f>'option-elements'!B69&amp;"_"&amp;'option-elements'!C69</f>
        <v>_</v>
      </c>
      <c r="D36" s="89" t="s">
        <v>285</v>
      </c>
      <c r="F36" s="28"/>
      <c r="H36" s="26" t="str">
        <f>テーブル2[[#This Row],[Sheet]]&amp;TEXT(ROW()-31,"00")</f>
        <v>外皮05</v>
      </c>
    </row>
    <row r="37" spans="1:8" x14ac:dyDescent="0.4">
      <c r="A37" s="84">
        <f t="shared" si="2"/>
        <v>36</v>
      </c>
      <c r="B37" s="26" t="s">
        <v>58</v>
      </c>
      <c r="C37" s="26" t="str">
        <f>'option-elements'!B70&amp;"_"&amp;'option-elements'!C70</f>
        <v>_</v>
      </c>
      <c r="D37" s="89" t="s">
        <v>283</v>
      </c>
      <c r="F37" s="28"/>
      <c r="H37" s="26" t="str">
        <f>テーブル2[[#This Row],[Sheet]]&amp;TEXT(ROW()-31,"00")</f>
        <v>外皮06</v>
      </c>
    </row>
    <row r="38" spans="1:8" x14ac:dyDescent="0.4">
      <c r="A38" s="84">
        <f t="shared" si="2"/>
        <v>37</v>
      </c>
      <c r="B38" s="26" t="s">
        <v>58</v>
      </c>
      <c r="C38" s="26" t="str">
        <f>'option-elements'!B71&amp;"_"&amp;'option-elements'!C71</f>
        <v>_</v>
      </c>
      <c r="D38" s="89" t="s">
        <v>281</v>
      </c>
      <c r="F38" s="28"/>
      <c r="H38" s="26" t="str">
        <f>テーブル2[[#This Row],[Sheet]]&amp;TEXT(ROW()-31,"00")</f>
        <v>外皮07</v>
      </c>
    </row>
    <row r="39" spans="1:8" x14ac:dyDescent="0.4">
      <c r="A39" s="84">
        <f t="shared" si="2"/>
        <v>38</v>
      </c>
      <c r="B39" s="26" t="s">
        <v>58</v>
      </c>
      <c r="C39" s="26" t="str">
        <f>'option-elements'!B72&amp;"_"&amp;'option-elements'!C72</f>
        <v>_</v>
      </c>
      <c r="D39" s="89" t="s">
        <v>287</v>
      </c>
      <c r="F39" s="28"/>
      <c r="H39" s="26" t="str">
        <f>テーブル2[[#This Row],[Sheet]]&amp;TEXT(ROW()-31,"00")</f>
        <v>外皮08</v>
      </c>
    </row>
    <row r="40" spans="1:8" x14ac:dyDescent="0.4">
      <c r="A40" s="84">
        <f t="shared" si="2"/>
        <v>39</v>
      </c>
      <c r="B40" s="26" t="s">
        <v>58</v>
      </c>
      <c r="C40" s="26" t="str">
        <f>'option-elements'!B73&amp;"_"&amp;'option-elements'!C73</f>
        <v>_</v>
      </c>
      <c r="D40" s="89" t="s">
        <v>289</v>
      </c>
      <c r="F40" s="28"/>
      <c r="H40" s="26" t="str">
        <f>テーブル2[[#This Row],[Sheet]]&amp;TEXT(ROW()-31,"00")</f>
        <v>外皮09</v>
      </c>
    </row>
    <row r="41" spans="1:8" x14ac:dyDescent="0.4">
      <c r="A41" s="84">
        <f t="shared" si="2"/>
        <v>40</v>
      </c>
      <c r="B41" s="26" t="s">
        <v>58</v>
      </c>
      <c r="C41" s="26" t="str">
        <f>'option-elements'!B74&amp;"_"&amp;'option-elements'!C74</f>
        <v>_</v>
      </c>
      <c r="D41" s="89" t="s">
        <v>291</v>
      </c>
      <c r="F41" s="28"/>
      <c r="H41" s="26" t="str">
        <f>テーブル2[[#This Row],[Sheet]]&amp;TEXT(ROW()-31,"00")</f>
        <v>外皮10</v>
      </c>
    </row>
    <row r="42" spans="1:8" x14ac:dyDescent="0.4">
      <c r="A42" s="84">
        <f t="shared" si="2"/>
        <v>41</v>
      </c>
      <c r="B42" s="26" t="s">
        <v>58</v>
      </c>
      <c r="C42" s="26" t="str">
        <f>'option-elements'!B75&amp;"_"&amp;'option-elements'!C75</f>
        <v>_</v>
      </c>
      <c r="D42" s="89" t="s">
        <v>278</v>
      </c>
      <c r="F42" s="28"/>
      <c r="H42" s="26" t="str">
        <f>テーブル2[[#This Row],[Sheet]]&amp;TEXT(ROW()-31,"00")</f>
        <v>外皮11</v>
      </c>
    </row>
    <row r="43" spans="1:8" x14ac:dyDescent="0.4">
      <c r="A43" s="84">
        <f t="shared" si="2"/>
        <v>42</v>
      </c>
      <c r="B43" s="26" t="s">
        <v>58</v>
      </c>
      <c r="C43" s="26" t="str">
        <f>'option-elements'!B76&amp;"_"&amp;'option-elements'!C76</f>
        <v>_</v>
      </c>
      <c r="D43" s="26" t="s">
        <v>72</v>
      </c>
      <c r="F43" s="28"/>
      <c r="H43" s="26" t="str">
        <f>テーブル2[[#This Row],[Sheet]]&amp;TEXT(ROW()-31,"00")</f>
        <v>外皮12</v>
      </c>
    </row>
    <row r="44" spans="1:8" x14ac:dyDescent="0.4">
      <c r="A44" s="84">
        <f t="shared" si="2"/>
        <v>43</v>
      </c>
      <c r="B44" s="26" t="s">
        <v>58</v>
      </c>
      <c r="C44" s="26" t="str">
        <f>'option-elements'!B77&amp;"_"&amp;'option-elements'!C77</f>
        <v>_</v>
      </c>
      <c r="D44" s="26" t="s">
        <v>351</v>
      </c>
      <c r="F44" s="28"/>
      <c r="H44" s="26" t="str">
        <f>テーブル2[[#This Row],[Sheet]]&amp;TEXT(ROW()-31,"00")</f>
        <v>外皮13</v>
      </c>
    </row>
    <row r="45" spans="1:8" x14ac:dyDescent="0.4">
      <c r="A45" s="84">
        <f t="shared" si="2"/>
        <v>44</v>
      </c>
      <c r="B45" s="26" t="s">
        <v>58</v>
      </c>
      <c r="C45" s="26" t="str">
        <f>'option-elements'!B78&amp;"_"&amp;'option-elements'!C78</f>
        <v>_</v>
      </c>
      <c r="D45" s="26" t="s">
        <v>353</v>
      </c>
      <c r="F45" s="28"/>
      <c r="H45" s="26" t="str">
        <f>テーブル2[[#This Row],[Sheet]]&amp;TEXT(ROW()-31,"00")</f>
        <v>外皮14</v>
      </c>
    </row>
    <row r="46" spans="1:8" x14ac:dyDescent="0.4">
      <c r="A46" s="84">
        <f t="shared" si="2"/>
        <v>45</v>
      </c>
      <c r="B46" s="26" t="s">
        <v>58</v>
      </c>
      <c r="C46" s="26" t="str">
        <f>'option-elements'!B79&amp;"_"&amp;'option-elements'!C79</f>
        <v>_</v>
      </c>
      <c r="D46" s="26" t="s">
        <v>72</v>
      </c>
      <c r="F46" s="28"/>
      <c r="H46" s="26" t="str">
        <f>テーブル2[[#This Row],[Sheet]]&amp;TEXT(ROW()-31,"00")</f>
        <v>外皮15</v>
      </c>
    </row>
    <row r="47" spans="1:8" x14ac:dyDescent="0.4">
      <c r="A47" s="84">
        <f t="shared" si="2"/>
        <v>46</v>
      </c>
      <c r="B47" s="26" t="s">
        <v>58</v>
      </c>
      <c r="C47" s="26" t="str">
        <f>'option-elements'!B80&amp;"_"&amp;'option-elements'!C80</f>
        <v>暖房02_エネルギー消費効率の入力_主たる居室</v>
      </c>
      <c r="D47" s="26" t="s">
        <v>351</v>
      </c>
      <c r="F47" s="28"/>
      <c r="H47" s="26" t="str">
        <f>テーブル2[[#This Row],[Sheet]]&amp;TEXT(ROW()-31,"00")</f>
        <v>外皮16</v>
      </c>
    </row>
    <row r="48" spans="1:8" x14ac:dyDescent="0.4">
      <c r="A48" s="84">
        <f t="shared" si="2"/>
        <v>47</v>
      </c>
      <c r="B48" s="26" t="s">
        <v>58</v>
      </c>
      <c r="C48" s="26" t="str">
        <f>'option-elements'!B81&amp;"_"&amp;'option-elements'!C81</f>
        <v>_</v>
      </c>
      <c r="D48" s="26" t="s">
        <v>353</v>
      </c>
      <c r="F48" s="28"/>
      <c r="H48" s="26" t="str">
        <f>テーブル2[[#This Row],[Sheet]]&amp;TEXT(ROW()-31,"00")</f>
        <v>外皮17</v>
      </c>
    </row>
    <row r="49" spans="1:8" x14ac:dyDescent="0.4">
      <c r="A49" s="84">
        <f t="shared" si="2"/>
        <v>48</v>
      </c>
      <c r="B49" s="26" t="s">
        <v>58</v>
      </c>
      <c r="C49" s="26" t="str">
        <f>'option-elements'!B82&amp;"_"&amp;'option-elements'!C82</f>
        <v>暖房02_定格能力におけるエネルギー消費効率_主たる居室</v>
      </c>
      <c r="D49" s="26" t="s">
        <v>72</v>
      </c>
      <c r="F49" s="28"/>
      <c r="H49" s="26" t="str">
        <f>テーブル2[[#This Row],[Sheet]]&amp;TEXT(ROW()-31,"00")</f>
        <v>外皮18</v>
      </c>
    </row>
    <row r="50" spans="1:8" x14ac:dyDescent="0.4">
      <c r="A50" s="84">
        <f t="shared" si="2"/>
        <v>49</v>
      </c>
      <c r="B50" s="26" t="s">
        <v>58</v>
      </c>
      <c r="C50" s="26" t="str">
        <f>'option-elements'!B83&amp;"_"&amp;'option-elements'!C83</f>
        <v>暖房02_エネルギー消費効率の区分_主たる居室</v>
      </c>
      <c r="D50" s="26" t="s">
        <v>272</v>
      </c>
      <c r="F50" s="28"/>
      <c r="H50" s="26" t="str">
        <f>テーブル2[[#This Row],[Sheet]]&amp;TEXT(ROW()-31,"00")</f>
        <v>外皮19</v>
      </c>
    </row>
    <row r="51" spans="1:8" x14ac:dyDescent="0.4">
      <c r="A51" s="84">
        <f t="shared" si="2"/>
        <v>50</v>
      </c>
      <c r="B51" s="26" t="s">
        <v>58</v>
      </c>
      <c r="C51" s="26" t="str">
        <f>'option-elements'!B84&amp;"_"&amp;'option-elements'!C84</f>
        <v>_</v>
      </c>
      <c r="D51" s="26" t="s">
        <v>72</v>
      </c>
      <c r="E51" s="26" t="s">
        <v>293</v>
      </c>
      <c r="H51" s="26" t="str">
        <f>テーブル2[[#This Row],[Sheet]]&amp;TEXT(ROW()-31,"00")</f>
        <v>外皮20</v>
      </c>
    </row>
    <row r="52" spans="1:8" x14ac:dyDescent="0.4">
      <c r="A52" s="84">
        <f t="shared" si="2"/>
        <v>51</v>
      </c>
      <c r="B52" s="26" t="s">
        <v>58</v>
      </c>
      <c r="C52" s="26" t="str">
        <f>'option-elements'!B85&amp;"_"&amp;'option-elements'!C85</f>
        <v>_</v>
      </c>
      <c r="D52" s="26" t="s">
        <v>75</v>
      </c>
      <c r="E52" s="26" t="s">
        <v>293</v>
      </c>
      <c r="F52" s="26" t="s">
        <v>293</v>
      </c>
      <c r="H52" s="26" t="str">
        <f>テーブル2[[#This Row],[Sheet]]&amp;TEXT(ROW()-31,"00")</f>
        <v>外皮21</v>
      </c>
    </row>
    <row r="53" spans="1:8" x14ac:dyDescent="0.4">
      <c r="A53" s="84">
        <f t="shared" si="2"/>
        <v>52</v>
      </c>
      <c r="B53" s="26" t="s">
        <v>58</v>
      </c>
      <c r="C53" s="26" t="str">
        <f>'option-elements'!B86&amp;"_"&amp;'option-elements'!C86</f>
        <v>暖房02_小能力時高効率型コンプレッサー_主たる居室</v>
      </c>
      <c r="D53" s="26">
        <v>10</v>
      </c>
      <c r="F53" s="28"/>
      <c r="H53" s="26" t="str">
        <f>テーブル2[[#This Row],[Sheet]]&amp;TEXT(ROW()-31,"00")</f>
        <v>外皮22</v>
      </c>
    </row>
    <row r="54" spans="1:8" x14ac:dyDescent="0.4">
      <c r="A54" s="84">
        <f t="shared" si="2"/>
        <v>53</v>
      </c>
      <c r="B54" s="26" t="s">
        <v>58</v>
      </c>
      <c r="C54" s="26" t="str">
        <f>'option-elements'!B87&amp;"_"&amp;'option-elements'!C87</f>
        <v>_</v>
      </c>
      <c r="D54" s="26">
        <v>20</v>
      </c>
      <c r="F54" s="28"/>
      <c r="H54" s="26" t="str">
        <f>テーブル2[[#This Row],[Sheet]]&amp;TEXT(ROW()-31,"00")</f>
        <v>外皮23</v>
      </c>
    </row>
    <row r="55" spans="1:8" x14ac:dyDescent="0.4">
      <c r="A55" s="84">
        <f t="shared" si="2"/>
        <v>54</v>
      </c>
      <c r="B55" s="26" t="s">
        <v>58</v>
      </c>
      <c r="C55" s="26" t="str">
        <f>'option-elements'!B88&amp;"_"&amp;'option-elements'!C88</f>
        <v>暖房02_敷設率の入力_主たる居室</v>
      </c>
      <c r="D55" s="26">
        <v>30</v>
      </c>
      <c r="F55" s="28"/>
      <c r="H55" s="26" t="str">
        <f>テーブル2[[#This Row],[Sheet]]&amp;TEXT(ROW()-31,"00")</f>
        <v>外皮24</v>
      </c>
    </row>
    <row r="56" spans="1:8" x14ac:dyDescent="0.4">
      <c r="A56" s="84">
        <f t="shared" si="2"/>
        <v>55</v>
      </c>
      <c r="B56" s="26" t="s">
        <v>58</v>
      </c>
      <c r="C56" s="26" t="str">
        <f>'option-elements'!B89&amp;"_"&amp;'option-elements'!C89</f>
        <v>_</v>
      </c>
      <c r="D56" s="26">
        <v>40</v>
      </c>
      <c r="F56" s="28"/>
      <c r="H56" s="26" t="str">
        <f>テーブル2[[#This Row],[Sheet]]&amp;TEXT(ROW()-31,"00")</f>
        <v>外皮25</v>
      </c>
    </row>
    <row r="57" spans="1:8" x14ac:dyDescent="0.4">
      <c r="A57" s="84">
        <f t="shared" si="2"/>
        <v>56</v>
      </c>
      <c r="B57" s="26" t="s">
        <v>58</v>
      </c>
      <c r="C57" s="26" t="str">
        <f>'option-elements'!B90&amp;"_"&amp;'option-elements'!C90</f>
        <v>暖房02_敷設率_主たる居室</v>
      </c>
      <c r="D57" s="26">
        <v>50</v>
      </c>
      <c r="F57" s="28"/>
      <c r="H57" s="26" t="str">
        <f>テーブル2[[#This Row],[Sheet]]&amp;TEXT(ROW()-31,"00")</f>
        <v>外皮26</v>
      </c>
    </row>
    <row r="58" spans="1:8" x14ac:dyDescent="0.4">
      <c r="A58" s="84">
        <f t="shared" si="2"/>
        <v>57</v>
      </c>
      <c r="B58" s="26" t="s">
        <v>58</v>
      </c>
      <c r="C58" s="26" t="str">
        <f>'option-elements'!B91&amp;"_"&amp;'option-elements'!C91</f>
        <v>暖房02_仮想床の床面積を除いた敷設率の入力_主たる居室</v>
      </c>
      <c r="D58" s="26">
        <v>60</v>
      </c>
      <c r="F58" s="28"/>
      <c r="H58" s="26" t="str">
        <f>テーブル2[[#This Row],[Sheet]]&amp;TEXT(ROW()-31,"00")</f>
        <v>外皮27</v>
      </c>
    </row>
    <row r="59" spans="1:8" x14ac:dyDescent="0.4">
      <c r="A59" s="84">
        <f t="shared" si="2"/>
        <v>58</v>
      </c>
      <c r="B59" s="26" t="s">
        <v>58</v>
      </c>
      <c r="C59" s="26" t="str">
        <f>'option-elements'!B92&amp;"_"&amp;'option-elements'!C92</f>
        <v>_</v>
      </c>
      <c r="D59" s="26">
        <v>70</v>
      </c>
      <c r="F59" s="28"/>
      <c r="H59" s="26" t="str">
        <f>テーブル2[[#This Row],[Sheet]]&amp;TEXT(ROW()-31,"00")</f>
        <v>外皮28</v>
      </c>
    </row>
    <row r="60" spans="1:8" x14ac:dyDescent="0.4">
      <c r="A60" s="84">
        <f t="shared" si="2"/>
        <v>59</v>
      </c>
      <c r="B60" s="26" t="s">
        <v>58</v>
      </c>
      <c r="C60" s="26" t="str">
        <f>'option-elements'!B93&amp;"_"&amp;'option-elements'!C93</f>
        <v>暖房02_仮想床の床面積を除いた敷設率_主たる居室</v>
      </c>
      <c r="D60" s="26">
        <v>80</v>
      </c>
      <c r="F60" s="28"/>
      <c r="H60" s="26" t="str">
        <f>テーブル2[[#This Row],[Sheet]]&amp;TEXT(ROW()-31,"00")</f>
        <v>外皮29</v>
      </c>
    </row>
    <row r="61" spans="1:8" x14ac:dyDescent="0.4">
      <c r="A61" s="84">
        <f t="shared" si="2"/>
        <v>60</v>
      </c>
      <c r="B61" s="26" t="s">
        <v>58</v>
      </c>
      <c r="C61" s="26" t="str">
        <f>'option-elements'!B94&amp;"_"&amp;'option-elements'!C94</f>
        <v>_</v>
      </c>
      <c r="D61" s="26">
        <v>90</v>
      </c>
      <c r="F61" s="28"/>
      <c r="H61" s="26" t="str">
        <f>テーブル2[[#This Row],[Sheet]]&amp;TEXT(ROW()-31,"00")</f>
        <v>外皮30</v>
      </c>
    </row>
    <row r="62" spans="1:8" x14ac:dyDescent="0.4">
      <c r="A62" s="84">
        <f t="shared" si="2"/>
        <v>61</v>
      </c>
      <c r="B62" s="26" t="s">
        <v>58</v>
      </c>
      <c r="C62" s="26" t="str">
        <f>'option-elements'!B95&amp;"_"&amp;'option-elements'!C95</f>
        <v>_</v>
      </c>
      <c r="D62" s="26">
        <v>100</v>
      </c>
      <c r="F62" s="28"/>
      <c r="H62" s="26" t="str">
        <f>テーブル2[[#This Row],[Sheet]]&amp;TEXT(ROW()-31,"00")</f>
        <v>外皮31</v>
      </c>
    </row>
    <row r="63" spans="1:8" x14ac:dyDescent="0.4">
      <c r="A63" s="84">
        <f t="shared" si="2"/>
        <v>62</v>
      </c>
      <c r="B63" s="26" t="s">
        <v>58</v>
      </c>
      <c r="C63" s="26" t="str">
        <f>'option-elements'!B96&amp;"_"&amp;'option-elements'!C96</f>
        <v>_</v>
      </c>
      <c r="D63" s="26" t="s">
        <v>80</v>
      </c>
      <c r="F63" s="28"/>
      <c r="H63" s="26" t="str">
        <f>テーブル2[[#This Row],[Sheet]]&amp;TEXT(ROW()-31,"00")</f>
        <v>外皮32</v>
      </c>
    </row>
    <row r="64" spans="1:8" x14ac:dyDescent="0.4">
      <c r="A64" s="84">
        <f t="shared" si="2"/>
        <v>63</v>
      </c>
      <c r="B64" s="26" t="s">
        <v>58</v>
      </c>
      <c r="C64" s="26" t="str">
        <f>'option-elements'!B97&amp;"_"&amp;'option-elements'!C97</f>
        <v>_</v>
      </c>
      <c r="D64" s="26" t="s">
        <v>81</v>
      </c>
      <c r="F64" s="28"/>
      <c r="H64" s="26" t="str">
        <f>テーブル2[[#This Row],[Sheet]]&amp;TEXT(ROW()-31,"00")</f>
        <v>外皮33</v>
      </c>
    </row>
    <row r="65" spans="1:8" x14ac:dyDescent="0.4">
      <c r="A65" s="4">
        <f>ROW()-1</f>
        <v>64</v>
      </c>
      <c r="B65" s="26" t="s">
        <v>227</v>
      </c>
      <c r="C65" s="26" t="str">
        <f>'option-elements'!B98&amp;"_"&amp;'option-elements'!C98</f>
        <v>_</v>
      </c>
      <c r="D65" s="26" t="str">
        <f>'option-elements'!D65</f>
        <v>居室のみを暖房する</v>
      </c>
      <c r="E65" s="26" t="s">
        <v>464</v>
      </c>
      <c r="F65" s="28" t="s">
        <v>463</v>
      </c>
      <c r="H65" s="86" t="str">
        <f>テーブル2[[#This Row],[Sheet]]&amp;TEXT(ROW()-64,"00")</f>
        <v>暖房01</v>
      </c>
    </row>
    <row r="66" spans="1:8" x14ac:dyDescent="0.4">
      <c r="A66" s="4">
        <f t="shared" ref="A66:A93" si="3">ROW()-1</f>
        <v>65</v>
      </c>
      <c r="B66" s="26" t="s">
        <v>227</v>
      </c>
      <c r="C66" s="26" t="str">
        <f>'option-elements'!B99&amp;"_"&amp;'option-elements'!C99</f>
        <v>_</v>
      </c>
      <c r="D66" s="26" t="str">
        <f>'option-elements'!D66</f>
        <v>住戸全体を暖房する</v>
      </c>
      <c r="E66" s="26" t="s">
        <v>465</v>
      </c>
      <c r="F66" s="28" t="s">
        <v>466</v>
      </c>
      <c r="H66" s="86" t="str">
        <f>テーブル2[[#This Row],[Sheet]]&amp;TEXT(ROW()-64,"00")</f>
        <v>暖房02</v>
      </c>
    </row>
    <row r="67" spans="1:8" x14ac:dyDescent="0.4">
      <c r="A67" s="4">
        <f t="shared" si="3"/>
        <v>66</v>
      </c>
      <c r="B67" s="26" t="s">
        <v>227</v>
      </c>
      <c r="C67" s="26" t="str">
        <f>'option-elements'!B100&amp;"_"&amp;'option-elements'!C100</f>
        <v>_</v>
      </c>
      <c r="D67" s="26" t="str">
        <f>'option-elements'!D67</f>
        <v>設置しない</v>
      </c>
      <c r="E67" s="26" t="s">
        <v>465</v>
      </c>
      <c r="F67" s="28"/>
      <c r="H67" s="86" t="str">
        <f>テーブル2[[#This Row],[Sheet]]&amp;TEXT(ROW()-64,"00")</f>
        <v>暖房03</v>
      </c>
    </row>
    <row r="68" spans="1:8" x14ac:dyDescent="0.4">
      <c r="A68" s="4">
        <f t="shared" si="3"/>
        <v>67</v>
      </c>
      <c r="B68" s="26" t="s">
        <v>227</v>
      </c>
      <c r="C68" s="26" t="str">
        <f>'option-elements'!B101&amp;"_"&amp;'option-elements'!C101</f>
        <v>_</v>
      </c>
      <c r="D68" s="26" t="str">
        <f>'option-elements'!D68</f>
        <v>ルームエアコンディショナー</v>
      </c>
      <c r="F68" s="28"/>
      <c r="H68" s="86" t="str">
        <f>テーブル2[[#This Row],[Sheet]]&amp;TEXT(ROW()-64,"00")</f>
        <v>暖房04</v>
      </c>
    </row>
    <row r="69" spans="1:8" x14ac:dyDescent="0.4">
      <c r="A69" s="4">
        <f t="shared" si="3"/>
        <v>68</v>
      </c>
      <c r="B69" s="26" t="s">
        <v>227</v>
      </c>
      <c r="C69" s="26" t="str">
        <f>'option-elements'!B102&amp;"_"&amp;'option-elements'!C102</f>
        <v>_</v>
      </c>
      <c r="D69" s="26" t="str">
        <f>'option-elements'!D69</f>
        <v>FF暖房機</v>
      </c>
      <c r="F69" s="28"/>
      <c r="H69" s="86" t="str">
        <f>テーブル2[[#This Row],[Sheet]]&amp;TEXT(ROW()-64,"00")</f>
        <v>暖房05</v>
      </c>
    </row>
    <row r="70" spans="1:8" x14ac:dyDescent="0.4">
      <c r="A70" s="4">
        <f t="shared" si="3"/>
        <v>69</v>
      </c>
      <c r="B70" s="26" t="s">
        <v>227</v>
      </c>
      <c r="C70" s="26" t="str">
        <f>'option-elements'!B103&amp;"_"&amp;'option-elements'!C103</f>
        <v>暖房02_上面放熱率_床の断熱_主たる居室</v>
      </c>
      <c r="D70" s="26" t="str">
        <f>'option-elements'!D70</f>
        <v>電気蓄熱暖房器</v>
      </c>
      <c r="F70" s="28"/>
      <c r="H70" s="86" t="str">
        <f>テーブル2[[#This Row],[Sheet]]&amp;TEXT(ROW()-64,"00")</f>
        <v>暖房06</v>
      </c>
    </row>
    <row r="71" spans="1:8" x14ac:dyDescent="0.4">
      <c r="A71" s="4">
        <f t="shared" si="3"/>
        <v>70</v>
      </c>
      <c r="B71" s="26" t="s">
        <v>227</v>
      </c>
      <c r="C71" s="26" t="str">
        <f>'option-elements'!B104&amp;"_"&amp;'option-elements'!C104</f>
        <v>_</v>
      </c>
      <c r="D71" s="26" t="str">
        <f>'option-elements'!D71</f>
        <v>電気ヒーター床暖房</v>
      </c>
      <c r="F71" s="28"/>
      <c r="H71" s="86" t="str">
        <f>テーブル2[[#This Row],[Sheet]]&amp;TEXT(ROW()-64,"00")</f>
        <v>暖房07</v>
      </c>
    </row>
    <row r="72" spans="1:8" x14ac:dyDescent="0.4">
      <c r="A72" s="4">
        <f t="shared" si="3"/>
        <v>71</v>
      </c>
      <c r="B72" s="26" t="s">
        <v>227</v>
      </c>
      <c r="C72" s="26" t="str">
        <f>'option-elements'!B105&amp;"_"&amp;'option-elements'!C105</f>
        <v>_</v>
      </c>
      <c r="D72" s="26" t="str">
        <f>'option-elements'!D72</f>
        <v>ルームエアコンディショナー付温水床暖房機</v>
      </c>
      <c r="F72" s="28"/>
      <c r="H72" s="86" t="str">
        <f>テーブル2[[#This Row],[Sheet]]&amp;TEXT(ROW()-64,"00")</f>
        <v>暖房08</v>
      </c>
    </row>
    <row r="73" spans="1:8" x14ac:dyDescent="0.4">
      <c r="A73" s="4">
        <f t="shared" si="3"/>
        <v>72</v>
      </c>
      <c r="B73" s="26" t="s">
        <v>227</v>
      </c>
      <c r="C73" s="26" t="str">
        <f>'option-elements'!B106&amp;"_"&amp;'option-elements'!C106</f>
        <v>_</v>
      </c>
      <c r="D73" s="26" t="str">
        <f>'option-elements'!D73</f>
        <v>温水床暖房</v>
      </c>
      <c r="F73" s="28"/>
      <c r="H73" s="86" t="str">
        <f>テーブル2[[#This Row],[Sheet]]&amp;TEXT(ROW()-64,"00")</f>
        <v>暖房09</v>
      </c>
    </row>
    <row r="74" spans="1:8" x14ac:dyDescent="0.4">
      <c r="A74" s="4">
        <f t="shared" si="3"/>
        <v>73</v>
      </c>
      <c r="B74" s="26" t="s">
        <v>227</v>
      </c>
      <c r="C74" s="26" t="str">
        <f>'option-elements'!B107&amp;"_"&amp;'option-elements'!C107</f>
        <v>_</v>
      </c>
      <c r="D74" s="26" t="str">
        <f>'option-elements'!D74</f>
        <v>パネルラジエーター</v>
      </c>
      <c r="F74" s="28"/>
      <c r="H74" s="86" t="str">
        <f>テーブル2[[#This Row],[Sheet]]&amp;TEXT(ROW()-64,"00")</f>
        <v>暖房10</v>
      </c>
    </row>
    <row r="75" spans="1:8" x14ac:dyDescent="0.4">
      <c r="A75" s="4">
        <f t="shared" si="3"/>
        <v>74</v>
      </c>
      <c r="B75" s="26" t="s">
        <v>227</v>
      </c>
      <c r="C75" s="26" t="str">
        <f>'option-elements'!B108&amp;"_"&amp;'option-elements'!C108</f>
        <v>_</v>
      </c>
      <c r="D75" s="26" t="str">
        <f>'option-elements'!D75</f>
        <v>ファンコンベクター</v>
      </c>
      <c r="F75" s="28"/>
      <c r="H75" s="86" t="str">
        <f>テーブル2[[#This Row],[Sheet]]&amp;TEXT(ROW()-64,"00")</f>
        <v>暖房11</v>
      </c>
    </row>
    <row r="76" spans="1:8" x14ac:dyDescent="0.4">
      <c r="A76" s="4">
        <f t="shared" si="3"/>
        <v>75</v>
      </c>
      <c r="B76" s="26" t="s">
        <v>227</v>
      </c>
      <c r="C76" s="26" t="str">
        <f>'option-elements'!B109&amp;"_"&amp;'option-elements'!C109</f>
        <v>_</v>
      </c>
      <c r="D76" s="26" t="str">
        <f>'option-elements'!D76</f>
        <v>ペレットストーブ</v>
      </c>
      <c r="F76" s="28"/>
      <c r="H76" s="86" t="str">
        <f>テーブル2[[#This Row],[Sheet]]&amp;TEXT(ROW()-64,"00")</f>
        <v>暖房12</v>
      </c>
    </row>
    <row r="77" spans="1:8" x14ac:dyDescent="0.4">
      <c r="A77" s="4">
        <f t="shared" si="3"/>
        <v>76</v>
      </c>
      <c r="B77" s="26" t="s">
        <v>227</v>
      </c>
      <c r="C77" s="26" t="str">
        <f>'option-elements'!B110&amp;"_"&amp;'option-elements'!C110</f>
        <v>_</v>
      </c>
      <c r="D77" s="26" t="str">
        <f>'option-elements'!D77</f>
        <v>その他の暖房設備機器</v>
      </c>
      <c r="F77" s="28"/>
      <c r="H77" s="86" t="str">
        <f>テーブル2[[#This Row],[Sheet]]&amp;TEXT(ROW()-64,"00")</f>
        <v>暖房13</v>
      </c>
    </row>
    <row r="78" spans="1:8" x14ac:dyDescent="0.4">
      <c r="A78" s="4">
        <f t="shared" si="3"/>
        <v>77</v>
      </c>
      <c r="B78" s="26" t="s">
        <v>227</v>
      </c>
      <c r="C78" s="26" t="str">
        <f>'option-elements'!B111&amp;"_"&amp;'option-elements'!C111</f>
        <v>_</v>
      </c>
      <c r="D78" s="26" t="str">
        <f>'option-elements'!D78</f>
        <v>基準値の算定において想定される機器（増改築部分を対象に評価する場合の基準設定仕様）</v>
      </c>
      <c r="F78" s="28"/>
      <c r="H78" s="86" t="str">
        <f>テーブル2[[#This Row],[Sheet]]&amp;TEXT(ROW()-64,"00")</f>
        <v>暖房14</v>
      </c>
    </row>
    <row r="79" spans="1:8" x14ac:dyDescent="0.4">
      <c r="A79" s="4">
        <f t="shared" si="3"/>
        <v>78</v>
      </c>
      <c r="B79" s="26" t="s">
        <v>227</v>
      </c>
      <c r="C79" s="26" t="str">
        <f>'option-elements'!B112&amp;"_"&amp;'option-elements'!C112</f>
        <v>_</v>
      </c>
      <c r="D79" s="26" t="str">
        <f>'option-elements'!D79</f>
        <v>暖房設備機器または放熱器を設置しない</v>
      </c>
      <c r="F79" s="28"/>
      <c r="H79" s="86" t="str">
        <f>テーブル2[[#This Row],[Sheet]]&amp;TEXT(ROW()-64,"00")</f>
        <v>暖房15</v>
      </c>
    </row>
    <row r="80" spans="1:8" x14ac:dyDescent="0.4">
      <c r="A80" s="4">
        <f t="shared" si="3"/>
        <v>79</v>
      </c>
      <c r="B80" s="26" t="s">
        <v>227</v>
      </c>
      <c r="C80" s="26" t="str">
        <f>'option-elements'!B113&amp;"_"&amp;'option-elements'!C113</f>
        <v>暖房02_低出力モード_主たる居室</v>
      </c>
      <c r="D80" s="26" t="str">
        <f>'option-elements'!D80</f>
        <v>入力しない（規定値を用いる）</v>
      </c>
      <c r="F80" s="28"/>
      <c r="H80" s="86" t="str">
        <f>テーブル2[[#This Row],[Sheet]]&amp;TEXT(ROW()-64,"00")</f>
        <v>暖房16</v>
      </c>
    </row>
    <row r="81" spans="1:8" x14ac:dyDescent="0.4">
      <c r="A81" s="4">
        <f t="shared" si="3"/>
        <v>80</v>
      </c>
      <c r="B81" s="26" t="s">
        <v>227</v>
      </c>
      <c r="C81" s="26" t="str">
        <f>'option-elements'!B114&amp;"_"&amp;'option-elements'!C114</f>
        <v>_</v>
      </c>
      <c r="D81" s="26" t="str">
        <f>'option-elements'!D81</f>
        <v>入力する</v>
      </c>
      <c r="F81" s="28"/>
      <c r="H81" s="86" t="str">
        <f>テーブル2[[#This Row],[Sheet]]&amp;TEXT(ROW()-64,"00")</f>
        <v>暖房17</v>
      </c>
    </row>
    <row r="82" spans="1:8" x14ac:dyDescent="0.4">
      <c r="A82" s="4">
        <f t="shared" si="3"/>
        <v>81</v>
      </c>
      <c r="B82" s="26" t="s">
        <v>227</v>
      </c>
      <c r="C82" s="26" t="str">
        <f>'option-elements'!B115&amp;"_"&amp;'option-elements'!C115</f>
        <v>暖房02_断熱配管_主たる居室</v>
      </c>
      <c r="D82" s="26" t="str">
        <f>'option-elements'!D82</f>
        <v>86.0</v>
      </c>
      <c r="F82" s="28"/>
      <c r="H82" s="86" t="str">
        <f>テーブル2[[#This Row],[Sheet]]&amp;TEXT(ROW()-64,"00")</f>
        <v>暖房18</v>
      </c>
    </row>
    <row r="83" spans="1:8" x14ac:dyDescent="0.4">
      <c r="A83" s="4">
        <f t="shared" si="3"/>
        <v>82</v>
      </c>
      <c r="B83" s="26" t="s">
        <v>227</v>
      </c>
      <c r="C83" s="26" t="str">
        <f>'option-elements'!B116&amp;"_"&amp;'option-elements'!C116</f>
        <v>_</v>
      </c>
      <c r="D83" s="26" t="str">
        <f>'option-elements'!D83</f>
        <v>区分（い）</v>
      </c>
      <c r="F83" s="28"/>
      <c r="H83" s="86" t="str">
        <f>テーブル2[[#This Row],[Sheet]]&amp;TEXT(ROW()-64,"00")</f>
        <v>暖房19</v>
      </c>
    </row>
    <row r="84" spans="1:8" x14ac:dyDescent="0.4">
      <c r="A84" s="4">
        <f t="shared" si="3"/>
        <v>83</v>
      </c>
      <c r="B84" s="26" t="s">
        <v>227</v>
      </c>
      <c r="C84" s="26" t="str">
        <f>'option-elements'!B117&amp;"_"&amp;'option-elements'!C117</f>
        <v>暖房02_熱出力_主たる居室</v>
      </c>
      <c r="D84" s="26" t="str">
        <f>'option-elements'!D84</f>
        <v>区分（ろ）</v>
      </c>
      <c r="F84" s="28"/>
      <c r="H84" s="86" t="str">
        <f>テーブル2[[#This Row],[Sheet]]&amp;TEXT(ROW()-64,"00")</f>
        <v>暖房20</v>
      </c>
    </row>
    <row r="85" spans="1:8" x14ac:dyDescent="0.4">
      <c r="A85" s="4">
        <f t="shared" si="3"/>
        <v>84</v>
      </c>
      <c r="B85" s="26" t="s">
        <v>227</v>
      </c>
      <c r="C85" s="26" t="str">
        <f>'option-elements'!B118&amp;"_"&amp;'option-elements'!C118</f>
        <v>暖房02_熱効率_主たる居室</v>
      </c>
      <c r="D85" s="26" t="str">
        <f>'option-elements'!D85</f>
        <v>区分（は）</v>
      </c>
      <c r="F85" s="28"/>
      <c r="H85" s="86" t="str">
        <f>テーブル2[[#This Row],[Sheet]]&amp;TEXT(ROW()-64,"00")</f>
        <v>暖房21</v>
      </c>
    </row>
    <row r="86" spans="1:8" x14ac:dyDescent="0.4">
      <c r="A86" s="4">
        <f t="shared" si="3"/>
        <v>85</v>
      </c>
      <c r="B86" s="26" t="s">
        <v>227</v>
      </c>
      <c r="C86" s="26" t="str">
        <f>'option-elements'!B119&amp;"_"&amp;'option-elements'!C119</f>
        <v>暖房02_点火時消費電力量_主たる居室</v>
      </c>
      <c r="D86" s="26" t="str">
        <f>'option-elements'!D86</f>
        <v>評価しない、または搭載しない</v>
      </c>
      <c r="F86" s="28"/>
      <c r="H86" s="86" t="str">
        <f>テーブル2[[#This Row],[Sheet]]&amp;TEXT(ROW()-64,"00")</f>
        <v>暖房22</v>
      </c>
    </row>
    <row r="87" spans="1:8" x14ac:dyDescent="0.4">
      <c r="A87" s="4">
        <f t="shared" si="3"/>
        <v>86</v>
      </c>
      <c r="B87" s="26" t="s">
        <v>227</v>
      </c>
      <c r="C87" s="26" t="str">
        <f>'option-elements'!B120&amp;"_"&amp;'option-elements'!C120</f>
        <v>暖房02_定常時消費電力_主たる居室</v>
      </c>
      <c r="D87" s="26" t="str">
        <f>'option-elements'!D87</f>
        <v>搭載する</v>
      </c>
      <c r="F87" s="28"/>
      <c r="H87" s="86" t="str">
        <f>テーブル2[[#This Row],[Sheet]]&amp;TEXT(ROW()-64,"00")</f>
        <v>暖房23</v>
      </c>
    </row>
    <row r="88" spans="1:8" x14ac:dyDescent="0.4">
      <c r="A88" s="4">
        <f t="shared" si="3"/>
        <v>87</v>
      </c>
      <c r="B88" s="26" t="s">
        <v>227</v>
      </c>
      <c r="C88" s="26" t="str">
        <f>'option-elements'!B121&amp;"_"&amp;'option-elements'!C121</f>
        <v>暖房02_その他の暖房設備機器の名称_主たる居室</v>
      </c>
      <c r="D88" s="26" t="str">
        <f>'option-elements'!D88</f>
        <v>入力しない（規定値を用いる）</v>
      </c>
      <c r="F88" s="28"/>
      <c r="H88" s="86" t="str">
        <f>テーブル2[[#This Row],[Sheet]]&amp;TEXT(ROW()-64,"00")</f>
        <v>暖房24</v>
      </c>
    </row>
    <row r="89" spans="1:8" x14ac:dyDescent="0.4">
      <c r="A89" s="4">
        <f t="shared" si="3"/>
        <v>88</v>
      </c>
      <c r="B89" s="26" t="s">
        <v>227</v>
      </c>
      <c r="C89" s="26" t="str">
        <f>'option-elements'!B122&amp;"_"&amp;'option-elements'!C122</f>
        <v>暖房03_暖房設備機器または放熱器の種類_その他の居室</v>
      </c>
      <c r="D89" s="26" t="str">
        <f>'option-elements'!D89</f>
        <v>入力する</v>
      </c>
      <c r="F89" s="28"/>
      <c r="H89" s="86" t="str">
        <f>テーブル2[[#This Row],[Sheet]]&amp;TEXT(ROW()-64,"00")</f>
        <v>暖房25</v>
      </c>
    </row>
    <row r="90" spans="1:8" x14ac:dyDescent="0.4">
      <c r="A90" s="4">
        <f t="shared" si="3"/>
        <v>89</v>
      </c>
      <c r="B90" s="26" t="s">
        <v>227</v>
      </c>
      <c r="C90" s="26" t="str">
        <f>'option-elements'!B123&amp;"_"&amp;'option-elements'!C123</f>
        <v>_</v>
      </c>
      <c r="D90" s="26" t="str">
        <f>'option-elements'!D90</f>
        <v>40.0</v>
      </c>
      <c r="F90" s="28"/>
      <c r="H90" s="86" t="str">
        <f>テーブル2[[#This Row],[Sheet]]&amp;TEXT(ROW()-64,"00")</f>
        <v>暖房26</v>
      </c>
    </row>
    <row r="91" spans="1:8" x14ac:dyDescent="0.4">
      <c r="A91" s="4">
        <f t="shared" si="3"/>
        <v>90</v>
      </c>
      <c r="B91" s="26" t="s">
        <v>227</v>
      </c>
      <c r="C91" s="26" t="str">
        <f>'option-elements'!B124&amp;"_"&amp;'option-elements'!C124</f>
        <v>_</v>
      </c>
      <c r="D91" s="26" t="str">
        <f>'option-elements'!D91</f>
        <v>入力しない（規定値を用いる）</v>
      </c>
      <c r="F91" s="28"/>
      <c r="H91" s="86" t="str">
        <f>テーブル2[[#This Row],[Sheet]]&amp;TEXT(ROW()-64,"00")</f>
        <v>暖房27</v>
      </c>
    </row>
    <row r="92" spans="1:8" x14ac:dyDescent="0.4">
      <c r="A92" s="4">
        <f t="shared" si="3"/>
        <v>91</v>
      </c>
      <c r="B92" s="26" t="s">
        <v>227</v>
      </c>
      <c r="C92" s="26" t="str">
        <f>'option-elements'!B125&amp;"_"&amp;'option-elements'!C125</f>
        <v>_</v>
      </c>
      <c r="D92" s="26" t="str">
        <f>'option-elements'!D92</f>
        <v>入力する</v>
      </c>
      <c r="F92" s="28"/>
      <c r="H92" s="86" t="str">
        <f>テーブル2[[#This Row],[Sheet]]&amp;TEXT(ROW()-64,"00")</f>
        <v>暖房28</v>
      </c>
    </row>
    <row r="93" spans="1:8" x14ac:dyDescent="0.4">
      <c r="A93" s="4">
        <f t="shared" si="3"/>
        <v>92</v>
      </c>
      <c r="B93" s="26" t="s">
        <v>227</v>
      </c>
      <c r="C93" s="26" t="str">
        <f>'option-elements'!B126&amp;"_"&amp;'option-elements'!C126</f>
        <v>_</v>
      </c>
      <c r="D93" s="26" t="str">
        <f>'option-elements'!D93</f>
        <v>10.0</v>
      </c>
      <c r="F93" s="28"/>
      <c r="H93" s="86" t="str">
        <f>テーブル2[[#This Row],[Sheet]]&amp;TEXT(ROW()-64,"00")</f>
        <v>暖房29</v>
      </c>
    </row>
    <row r="94" spans="1:8" x14ac:dyDescent="0.4">
      <c r="A94" s="4">
        <f t="shared" ref="A94:A116" si="4">ROW()-1</f>
        <v>93</v>
      </c>
      <c r="B94" s="26" t="s">
        <v>227</v>
      </c>
      <c r="C94" s="26" t="str">
        <f>'option-elements'!B127&amp;"_"&amp;'option-elements'!C127</f>
        <v>_</v>
      </c>
      <c r="D94" s="26" t="str">
        <f>'option-elements'!D94</f>
        <v>20.0</v>
      </c>
      <c r="F94" s="28"/>
      <c r="H94" s="86" t="str">
        <f>テーブル2[[#This Row],[Sheet]]&amp;TEXT(ROW()-64,"00")</f>
        <v>暖房30</v>
      </c>
    </row>
    <row r="95" spans="1:8" x14ac:dyDescent="0.4">
      <c r="A95" s="4">
        <f t="shared" si="4"/>
        <v>94</v>
      </c>
      <c r="B95" s="26" t="s">
        <v>227</v>
      </c>
      <c r="C95" s="26" t="str">
        <f>'option-elements'!B128&amp;"_"&amp;'option-elements'!C128</f>
        <v>_</v>
      </c>
      <c r="D95" s="26" t="str">
        <f>'option-elements'!D95</f>
        <v>30.0</v>
      </c>
      <c r="F95" s="28"/>
      <c r="H95" s="86" t="str">
        <f>テーブル2[[#This Row],[Sheet]]&amp;TEXT(ROW()-64,"00")</f>
        <v>暖房31</v>
      </c>
    </row>
    <row r="96" spans="1:8" x14ac:dyDescent="0.4">
      <c r="A96" s="4">
        <f t="shared" si="4"/>
        <v>95</v>
      </c>
      <c r="B96" s="26" t="s">
        <v>227</v>
      </c>
      <c r="C96" s="26" t="str">
        <f>'option-elements'!B129&amp;"_"&amp;'option-elements'!C129</f>
        <v>_</v>
      </c>
      <c r="D96" s="26" t="str">
        <f>'option-elements'!D96</f>
        <v>40.0</v>
      </c>
      <c r="F96" s="28"/>
      <c r="H96" s="86" t="str">
        <f>テーブル2[[#This Row],[Sheet]]&amp;TEXT(ROW()-64,"00")</f>
        <v>暖房32</v>
      </c>
    </row>
    <row r="97" spans="1:8" x14ac:dyDescent="0.4">
      <c r="A97" s="4">
        <f t="shared" si="4"/>
        <v>96</v>
      </c>
      <c r="B97" s="26" t="s">
        <v>227</v>
      </c>
      <c r="C97" s="26" t="str">
        <f>'option-elements'!B130&amp;"_"&amp;'option-elements'!C130</f>
        <v>_</v>
      </c>
      <c r="D97" s="26" t="str">
        <f>'option-elements'!D97</f>
        <v>50.0</v>
      </c>
      <c r="F97" s="28"/>
      <c r="H97" s="86" t="str">
        <f>テーブル2[[#This Row],[Sheet]]&amp;TEXT(ROW()-64,"00")</f>
        <v>暖房33</v>
      </c>
    </row>
    <row r="98" spans="1:8" x14ac:dyDescent="0.4">
      <c r="A98" s="4">
        <f t="shared" si="4"/>
        <v>97</v>
      </c>
      <c r="B98" s="26" t="s">
        <v>227</v>
      </c>
      <c r="C98" s="26" t="str">
        <f>'option-elements'!B131&amp;"_"&amp;'option-elements'!C131</f>
        <v>_</v>
      </c>
      <c r="D98" s="26" t="str">
        <f>'option-elements'!D98</f>
        <v>60.0</v>
      </c>
      <c r="F98" s="28"/>
      <c r="H98" s="86" t="str">
        <f>テーブル2[[#This Row],[Sheet]]&amp;TEXT(ROW()-64,"00")</f>
        <v>暖房34</v>
      </c>
    </row>
    <row r="99" spans="1:8" x14ac:dyDescent="0.4">
      <c r="A99" s="4">
        <f t="shared" si="4"/>
        <v>98</v>
      </c>
      <c r="B99" s="26" t="s">
        <v>227</v>
      </c>
      <c r="C99" s="26" t="str">
        <f>'option-elements'!B132&amp;"_"&amp;'option-elements'!C132</f>
        <v>_</v>
      </c>
      <c r="D99" s="26" t="str">
        <f>'option-elements'!D99</f>
        <v>70.0</v>
      </c>
      <c r="F99" s="28"/>
      <c r="H99" s="86" t="str">
        <f>テーブル2[[#This Row],[Sheet]]&amp;TEXT(ROW()-64,"00")</f>
        <v>暖房35</v>
      </c>
    </row>
    <row r="100" spans="1:8" x14ac:dyDescent="0.4">
      <c r="A100" s="4">
        <f t="shared" si="4"/>
        <v>99</v>
      </c>
      <c r="B100" s="26" t="s">
        <v>227</v>
      </c>
      <c r="C100" s="26" t="str">
        <f>'option-elements'!B133&amp;"_"&amp;'option-elements'!C133</f>
        <v>_</v>
      </c>
      <c r="D100" s="26" t="str">
        <f>'option-elements'!D100</f>
        <v>80.0</v>
      </c>
      <c r="F100" s="28"/>
      <c r="H100" s="86" t="str">
        <f>テーブル2[[#This Row],[Sheet]]&amp;TEXT(ROW()-64,"00")</f>
        <v>暖房36</v>
      </c>
    </row>
    <row r="101" spans="1:8" x14ac:dyDescent="0.4">
      <c r="A101" s="4">
        <f t="shared" si="4"/>
        <v>100</v>
      </c>
      <c r="B101" s="26" t="s">
        <v>227</v>
      </c>
      <c r="C101" s="26" t="str">
        <f>'option-elements'!B134&amp;"_"&amp;'option-elements'!C134</f>
        <v>暖房03_エネルギー消費効率の入力_その他の居室</v>
      </c>
      <c r="D101" s="26" t="str">
        <f>'option-elements'!D101</f>
        <v>90.0</v>
      </c>
      <c r="F101" s="28"/>
      <c r="H101" s="86" t="str">
        <f>テーブル2[[#This Row],[Sheet]]&amp;TEXT(ROW()-64,"00")</f>
        <v>暖房37</v>
      </c>
    </row>
    <row r="102" spans="1:8" x14ac:dyDescent="0.4">
      <c r="A102" s="4">
        <f t="shared" si="4"/>
        <v>101</v>
      </c>
      <c r="B102" s="26" t="s">
        <v>227</v>
      </c>
      <c r="C102" s="26" t="str">
        <f>'option-elements'!B135&amp;"_"&amp;'option-elements'!C135</f>
        <v>_</v>
      </c>
      <c r="D102" s="26" t="str">
        <f>'option-elements'!D102</f>
        <v>100.0</v>
      </c>
      <c r="F102" s="28"/>
      <c r="H102" s="86" t="str">
        <f>テーブル2[[#This Row],[Sheet]]&amp;TEXT(ROW()-64,"00")</f>
        <v>暖房38</v>
      </c>
    </row>
    <row r="103" spans="1:8" x14ac:dyDescent="0.4">
      <c r="A103" s="4">
        <f t="shared" si="4"/>
        <v>102</v>
      </c>
      <c r="B103" s="26" t="s">
        <v>227</v>
      </c>
      <c r="C103" s="26" t="str">
        <f>'option-elements'!B136&amp;"_"&amp;'option-elements'!C136</f>
        <v>暖房03_定格能力におけるエネルギー消費効率_その他の居室</v>
      </c>
      <c r="D103" s="26" t="str">
        <f>'option-elements'!D103</f>
        <v>10</v>
      </c>
      <c r="F103" s="28"/>
      <c r="H103" s="86" t="str">
        <f>テーブル2[[#This Row],[Sheet]]&amp;TEXT(ROW()-64,"00")</f>
        <v>暖房39</v>
      </c>
    </row>
    <row r="104" spans="1:8" x14ac:dyDescent="0.4">
      <c r="A104" s="4">
        <f t="shared" si="4"/>
        <v>103</v>
      </c>
      <c r="B104" s="26" t="s">
        <v>227</v>
      </c>
      <c r="C104" s="26" t="str">
        <f>'option-elements'!B137&amp;"_"&amp;'option-elements'!C137</f>
        <v>暖房03_エネルギー消費効率の区分_その他の居室</v>
      </c>
      <c r="D104" s="26" t="str">
        <f>'option-elements'!D104</f>
        <v>20</v>
      </c>
      <c r="F104" s="28"/>
      <c r="H104" s="86" t="str">
        <f>テーブル2[[#This Row],[Sheet]]&amp;TEXT(ROW()-64,"00")</f>
        <v>暖房40</v>
      </c>
    </row>
    <row r="105" spans="1:8" x14ac:dyDescent="0.4">
      <c r="A105" s="4">
        <f t="shared" si="4"/>
        <v>104</v>
      </c>
      <c r="B105" s="26" t="s">
        <v>227</v>
      </c>
      <c r="C105" s="26" t="str">
        <f>'option-elements'!B138&amp;"_"&amp;'option-elements'!C138</f>
        <v>_</v>
      </c>
      <c r="D105" s="26" t="str">
        <f>'option-elements'!D105</f>
        <v>30</v>
      </c>
      <c r="F105" s="28"/>
      <c r="H105" s="86" t="str">
        <f>テーブル2[[#This Row],[Sheet]]&amp;TEXT(ROW()-64,"00")</f>
        <v>暖房41</v>
      </c>
    </row>
    <row r="106" spans="1:8" x14ac:dyDescent="0.4">
      <c r="A106" s="4">
        <f t="shared" si="4"/>
        <v>105</v>
      </c>
      <c r="B106" s="26" t="s">
        <v>227</v>
      </c>
      <c r="C106" s="26" t="str">
        <f>'option-elements'!B139&amp;"_"&amp;'option-elements'!C139</f>
        <v>_</v>
      </c>
      <c r="D106" s="26" t="str">
        <f>'option-elements'!D106</f>
        <v>40</v>
      </c>
      <c r="F106" s="28"/>
      <c r="H106" s="86" t="str">
        <f>テーブル2[[#This Row],[Sheet]]&amp;TEXT(ROW()-64,"00")</f>
        <v>暖房42</v>
      </c>
    </row>
    <row r="107" spans="1:8" x14ac:dyDescent="0.4">
      <c r="A107" s="4">
        <f t="shared" si="4"/>
        <v>106</v>
      </c>
      <c r="B107" s="26" t="s">
        <v>227</v>
      </c>
      <c r="C107" s="26" t="str">
        <f>'option-elements'!B140&amp;"_"&amp;'option-elements'!C140</f>
        <v>暖房03_小能力時高効率型コンプレッサー_その他の居室</v>
      </c>
      <c r="D107" s="26" t="str">
        <f>'option-elements'!D107</f>
        <v>50</v>
      </c>
      <c r="F107" s="28"/>
      <c r="H107" s="86" t="str">
        <f>テーブル2[[#This Row],[Sheet]]&amp;TEXT(ROW()-64,"00")</f>
        <v>暖房43</v>
      </c>
    </row>
    <row r="108" spans="1:8" x14ac:dyDescent="0.4">
      <c r="A108" s="4">
        <f t="shared" si="4"/>
        <v>107</v>
      </c>
      <c r="B108" s="26" t="s">
        <v>227</v>
      </c>
      <c r="C108" s="26" t="str">
        <f>'option-elements'!B141&amp;"_"&amp;'option-elements'!C141</f>
        <v>_</v>
      </c>
      <c r="D108" s="26" t="str">
        <f>'option-elements'!D108</f>
        <v>60</v>
      </c>
      <c r="F108" s="28"/>
      <c r="H108" s="86" t="str">
        <f>テーブル2[[#This Row],[Sheet]]&amp;TEXT(ROW()-64,"00")</f>
        <v>暖房44</v>
      </c>
    </row>
    <row r="109" spans="1:8" x14ac:dyDescent="0.4">
      <c r="A109" s="4">
        <f t="shared" si="4"/>
        <v>108</v>
      </c>
      <c r="B109" s="26" t="s">
        <v>227</v>
      </c>
      <c r="C109" s="26" t="str">
        <f>'option-elements'!B142&amp;"_"&amp;'option-elements'!C142</f>
        <v>暖房03_敷設率の入力_その他の居室</v>
      </c>
      <c r="D109" s="26" t="str">
        <f>'option-elements'!D109</f>
        <v>70</v>
      </c>
      <c r="F109" s="28"/>
      <c r="H109" s="86" t="str">
        <f>テーブル2[[#This Row],[Sheet]]&amp;TEXT(ROW()-64,"00")</f>
        <v>暖房45</v>
      </c>
    </row>
    <row r="110" spans="1:8" x14ac:dyDescent="0.4">
      <c r="A110" s="4">
        <f t="shared" si="4"/>
        <v>109</v>
      </c>
      <c r="B110" s="26" t="s">
        <v>227</v>
      </c>
      <c r="C110" s="26" t="str">
        <f>'option-elements'!B143&amp;"_"&amp;'option-elements'!C143</f>
        <v>_</v>
      </c>
      <c r="D110" s="26" t="str">
        <f>'option-elements'!D110</f>
        <v>80</v>
      </c>
      <c r="F110" s="28"/>
      <c r="H110" s="86" t="str">
        <f>テーブル2[[#This Row],[Sheet]]&amp;TEXT(ROW()-64,"00")</f>
        <v>暖房46</v>
      </c>
    </row>
    <row r="111" spans="1:8" x14ac:dyDescent="0.4">
      <c r="A111" s="4">
        <f t="shared" si="4"/>
        <v>110</v>
      </c>
      <c r="B111" s="26" t="s">
        <v>227</v>
      </c>
      <c r="C111" s="26" t="str">
        <f>'option-elements'!B144&amp;"_"&amp;'option-elements'!C144</f>
        <v>暖房03_敷設率_その他の居室</v>
      </c>
      <c r="D111" s="26" t="str">
        <f>'option-elements'!D111</f>
        <v>90</v>
      </c>
      <c r="F111" s="28"/>
      <c r="H111" s="86" t="str">
        <f>テーブル2[[#This Row],[Sheet]]&amp;TEXT(ROW()-64,"00")</f>
        <v>暖房47</v>
      </c>
    </row>
    <row r="112" spans="1:8" x14ac:dyDescent="0.4">
      <c r="A112" s="4">
        <f t="shared" si="4"/>
        <v>111</v>
      </c>
      <c r="B112" s="26" t="s">
        <v>227</v>
      </c>
      <c r="C112" s="26" t="str">
        <f>'option-elements'!B145&amp;"_"&amp;'option-elements'!C145</f>
        <v>暖房03_上面放熱率_床の断熱_その他の居室</v>
      </c>
      <c r="D112" s="26" t="str">
        <f>'option-elements'!D112</f>
        <v>100</v>
      </c>
      <c r="F112" s="28"/>
      <c r="H112" s="86" t="str">
        <f>テーブル2[[#This Row],[Sheet]]&amp;TEXT(ROW()-64,"00")</f>
        <v>暖房48</v>
      </c>
    </row>
    <row r="113" spans="1:8" x14ac:dyDescent="0.4">
      <c r="A113" s="4">
        <f t="shared" si="4"/>
        <v>112</v>
      </c>
      <c r="B113" s="26" t="s">
        <v>227</v>
      </c>
      <c r="C113" s="26" t="str">
        <f>'option-elements'!B146&amp;"_"&amp;'option-elements'!C146</f>
        <v>_</v>
      </c>
      <c r="D113" s="26" t="str">
        <f>'option-elements'!D113</f>
        <v>評価しない</v>
      </c>
      <c r="F113" s="28"/>
      <c r="H113" s="86" t="str">
        <f>テーブル2[[#This Row],[Sheet]]&amp;TEXT(ROW()-64,"00")</f>
        <v>暖房49</v>
      </c>
    </row>
    <row r="114" spans="1:8" x14ac:dyDescent="0.4">
      <c r="A114" s="4">
        <f t="shared" si="4"/>
        <v>113</v>
      </c>
      <c r="B114" s="26" t="s">
        <v>227</v>
      </c>
      <c r="C114" s="26" t="str">
        <f>'option-elements'!B147&amp;"_"&amp;'option-elements'!C147</f>
        <v>_</v>
      </c>
      <c r="D114" s="26" t="str">
        <f>'option-elements'!D114</f>
        <v>評価する</v>
      </c>
      <c r="F114" s="28"/>
      <c r="H114" s="86" t="str">
        <f>テーブル2[[#This Row],[Sheet]]&amp;TEXT(ROW()-64,"00")</f>
        <v>暖房50</v>
      </c>
    </row>
    <row r="115" spans="1:8" x14ac:dyDescent="0.4">
      <c r="A115" s="4">
        <f t="shared" si="4"/>
        <v>114</v>
      </c>
      <c r="B115" s="26" t="s">
        <v>227</v>
      </c>
      <c r="C115" s="26" t="str">
        <f>'option-elements'!B148&amp;"_"&amp;'option-elements'!C148</f>
        <v>_</v>
      </c>
      <c r="D115" s="26" t="str">
        <f>'option-elements'!D115</f>
        <v>評価しない、または採用しない</v>
      </c>
      <c r="F115" s="28"/>
      <c r="H115" s="86" t="str">
        <f>テーブル2[[#This Row],[Sheet]]&amp;TEXT(ROW()-64,"00")</f>
        <v>暖房51</v>
      </c>
    </row>
    <row r="116" spans="1:8" x14ac:dyDescent="0.4">
      <c r="A116" s="4">
        <f t="shared" si="4"/>
        <v>115</v>
      </c>
      <c r="B116" s="26" t="s">
        <v>227</v>
      </c>
      <c r="C116" s="26" t="str">
        <f>'option-elements'!B149&amp;"_"&amp;'option-elements'!C149</f>
        <v>_</v>
      </c>
      <c r="D116" s="26" t="str">
        <f>'option-elements'!D116</f>
        <v>採用する</v>
      </c>
      <c r="F116" s="28"/>
      <c r="H116" s="86" t="str">
        <f>テーブル2[[#This Row],[Sheet]]&amp;TEXT(ROW()-64,"00")</f>
        <v>暖房52</v>
      </c>
    </row>
    <row r="117" spans="1:8" x14ac:dyDescent="0.4">
      <c r="A117" s="4">
        <f t="shared" ref="A117:A119" si="5">ROW()-1</f>
        <v>116</v>
      </c>
      <c r="B117" s="26" t="s">
        <v>227</v>
      </c>
      <c r="C117" s="26" t="str">
        <f>'option-elements'!B150&amp;"_"&amp;'option-elements'!C150</f>
        <v>_</v>
      </c>
      <c r="D117" s="26">
        <f>'option-elements'!D117</f>
        <v>12.5</v>
      </c>
      <c r="F117" s="28"/>
      <c r="H117" s="86" t="str">
        <f>テーブル2[[#This Row],[Sheet]]&amp;TEXT(ROW()-64,"00")</f>
        <v>暖房53</v>
      </c>
    </row>
    <row r="118" spans="1:8" x14ac:dyDescent="0.4">
      <c r="A118" s="4">
        <f t="shared" si="5"/>
        <v>117</v>
      </c>
      <c r="B118" s="26" t="s">
        <v>227</v>
      </c>
      <c r="C118" s="26" t="str">
        <f>'option-elements'!B151&amp;"_"&amp;'option-elements'!C151</f>
        <v>_</v>
      </c>
      <c r="D118" s="26">
        <f>'option-elements'!D118</f>
        <v>63.7</v>
      </c>
      <c r="F118" s="28"/>
      <c r="H118" s="86" t="str">
        <f>テーブル2[[#This Row],[Sheet]]&amp;TEXT(ROW()-64,"00")</f>
        <v>暖房54</v>
      </c>
    </row>
    <row r="119" spans="1:8" x14ac:dyDescent="0.4">
      <c r="A119" s="4">
        <f t="shared" si="5"/>
        <v>118</v>
      </c>
      <c r="B119" s="26" t="s">
        <v>227</v>
      </c>
      <c r="C119" s="26" t="str">
        <f>'option-elements'!B152&amp;"_"&amp;'option-elements'!C152</f>
        <v>_</v>
      </c>
      <c r="D119" s="26">
        <f>'option-elements'!D119</f>
        <v>155</v>
      </c>
      <c r="F119" s="28"/>
      <c r="H119" s="86" t="str">
        <f>テーブル2[[#This Row],[Sheet]]&amp;TEXT(ROW()-64,"00")</f>
        <v>暖房55</v>
      </c>
    </row>
    <row r="120" spans="1:8" x14ac:dyDescent="0.4">
      <c r="A120" s="4">
        <f>ROW()-1</f>
        <v>119</v>
      </c>
      <c r="B120" s="26" t="s">
        <v>227</v>
      </c>
      <c r="C120" s="26" t="str">
        <f>'option-elements'!B153&amp;"_"&amp;'option-elements'!C153</f>
        <v>_</v>
      </c>
      <c r="D120" s="26">
        <f>'option-elements'!D120</f>
        <v>134</v>
      </c>
      <c r="F120" s="28"/>
      <c r="H120" s="86" t="str">
        <f>テーブル2[[#This Row],[Sheet]]&amp;TEXT(ROW()-64,"00")</f>
        <v>暖房56</v>
      </c>
    </row>
    <row r="121" spans="1:8" x14ac:dyDescent="0.4">
      <c r="A121" s="4">
        <f t="shared" ref="A121:A136" si="6">ROW()-1</f>
        <v>120</v>
      </c>
      <c r="B121" s="26" t="s">
        <v>227</v>
      </c>
      <c r="C121" s="26" t="str">
        <f>'option-elements'!B154&amp;"_"&amp;'option-elements'!C154</f>
        <v>_</v>
      </c>
      <c r="D121" s="26" t="str">
        <f>'option-elements'!D121</f>
        <v>（その他の暖房機器の名称）</v>
      </c>
      <c r="F121" s="28"/>
      <c r="H121" s="86" t="str">
        <f>テーブル2[[#This Row],[Sheet]]&amp;TEXT(ROW()-64,"00")</f>
        <v>暖房57</v>
      </c>
    </row>
    <row r="122" spans="1:8" x14ac:dyDescent="0.4">
      <c r="A122" s="4">
        <f t="shared" si="6"/>
        <v>121</v>
      </c>
      <c r="B122" s="26" t="s">
        <v>227</v>
      </c>
      <c r="C122" s="26" t="str">
        <f>'option-elements'!B155&amp;"_"&amp;'option-elements'!C155</f>
        <v>暖房03_低出力モード_その他の居室</v>
      </c>
      <c r="D122" s="26" t="str">
        <f>'option-elements'!D122</f>
        <v>ルームエアコンディショナー</v>
      </c>
      <c r="F122" s="28"/>
      <c r="H122" s="86" t="str">
        <f>テーブル2[[#This Row],[Sheet]]&amp;TEXT(ROW()-64,"00")</f>
        <v>暖房58</v>
      </c>
    </row>
    <row r="123" spans="1:8" x14ac:dyDescent="0.4">
      <c r="A123" s="4">
        <f t="shared" si="6"/>
        <v>122</v>
      </c>
      <c r="B123" s="26" t="s">
        <v>227</v>
      </c>
      <c r="C123" s="26" t="str">
        <f>'option-elements'!B156&amp;"_"&amp;'option-elements'!C156</f>
        <v>_</v>
      </c>
      <c r="D123" s="26" t="str">
        <f>'option-elements'!D123</f>
        <v>FF暖房機</v>
      </c>
      <c r="F123" s="28"/>
      <c r="H123" s="86" t="str">
        <f>テーブル2[[#This Row],[Sheet]]&amp;TEXT(ROW()-64,"00")</f>
        <v>暖房59</v>
      </c>
    </row>
    <row r="124" spans="1:8" x14ac:dyDescent="0.4">
      <c r="A124" s="4">
        <f t="shared" si="6"/>
        <v>123</v>
      </c>
      <c r="B124" s="26" t="s">
        <v>227</v>
      </c>
      <c r="C124" s="26" t="str">
        <f>'option-elements'!B157&amp;"_"&amp;'option-elements'!C157</f>
        <v>暖房03_断熱配管_その他の居室</v>
      </c>
      <c r="D124" s="26" t="str">
        <f>'option-elements'!D124</f>
        <v>電気蓄熱暖房器</v>
      </c>
      <c r="F124" s="28"/>
      <c r="H124" s="86" t="str">
        <f>テーブル2[[#This Row],[Sheet]]&amp;TEXT(ROW()-64,"00")</f>
        <v>暖房60</v>
      </c>
    </row>
    <row r="125" spans="1:8" x14ac:dyDescent="0.4">
      <c r="A125" s="4">
        <f t="shared" si="6"/>
        <v>124</v>
      </c>
      <c r="B125" s="26" t="s">
        <v>227</v>
      </c>
      <c r="C125" s="26" t="str">
        <f>'option-elements'!B158&amp;"_"&amp;'option-elements'!C158</f>
        <v>_</v>
      </c>
      <c r="D125" s="26" t="str">
        <f>'option-elements'!D125</f>
        <v>電気ヒーター床暖房</v>
      </c>
      <c r="F125" s="28"/>
      <c r="H125" s="86" t="str">
        <f>テーブル2[[#This Row],[Sheet]]&amp;TEXT(ROW()-64,"00")</f>
        <v>暖房61</v>
      </c>
    </row>
    <row r="126" spans="1:8" x14ac:dyDescent="0.4">
      <c r="A126" s="4">
        <f t="shared" si="6"/>
        <v>125</v>
      </c>
      <c r="B126" s="26" t="s">
        <v>227</v>
      </c>
      <c r="C126" s="26" t="str">
        <f>'option-elements'!B159&amp;"_"&amp;'option-elements'!C159</f>
        <v>暖房03_熱出力_その他の居室</v>
      </c>
      <c r="D126" s="26" t="str">
        <f>'option-elements'!D126</f>
        <v>ルームエアコンディショナー付温水床暖房機</v>
      </c>
      <c r="F126" s="28"/>
      <c r="H126" s="86" t="str">
        <f>テーブル2[[#This Row],[Sheet]]&amp;TEXT(ROW()-64,"00")</f>
        <v>暖房62</v>
      </c>
    </row>
    <row r="127" spans="1:8" x14ac:dyDescent="0.4">
      <c r="A127" s="4">
        <f t="shared" si="6"/>
        <v>126</v>
      </c>
      <c r="B127" s="26" t="s">
        <v>227</v>
      </c>
      <c r="C127" s="26" t="str">
        <f>'option-elements'!B160&amp;"_"&amp;'option-elements'!C160</f>
        <v>暖房03_熱効率_その他の居室</v>
      </c>
      <c r="D127" s="26" t="str">
        <f>'option-elements'!D127</f>
        <v>温水床暖房</v>
      </c>
      <c r="F127" s="28"/>
      <c r="H127" s="86" t="str">
        <f>テーブル2[[#This Row],[Sheet]]&amp;TEXT(ROW()-64,"00")</f>
        <v>暖房63</v>
      </c>
    </row>
    <row r="128" spans="1:8" x14ac:dyDescent="0.4">
      <c r="A128" s="4">
        <f t="shared" si="6"/>
        <v>127</v>
      </c>
      <c r="B128" s="26" t="s">
        <v>227</v>
      </c>
      <c r="C128" s="26" t="str">
        <f>'option-elements'!B161&amp;"_"&amp;'option-elements'!C161</f>
        <v>暖房03_点火時消費電力量_その他の居室</v>
      </c>
      <c r="D128" s="26" t="str">
        <f>'option-elements'!D128</f>
        <v>パネルラジエーター</v>
      </c>
      <c r="F128" s="28"/>
      <c r="H128" s="86" t="str">
        <f>テーブル2[[#This Row],[Sheet]]&amp;TEXT(ROW()-64,"00")</f>
        <v>暖房64</v>
      </c>
    </row>
    <row r="129" spans="1:8" x14ac:dyDescent="0.4">
      <c r="A129" s="4">
        <f t="shared" si="6"/>
        <v>128</v>
      </c>
      <c r="B129" s="26" t="s">
        <v>227</v>
      </c>
      <c r="C129" s="26" t="str">
        <f>'option-elements'!B162&amp;"_"&amp;'option-elements'!C162</f>
        <v>暖房03_定常時消費電力_その他の居室</v>
      </c>
      <c r="D129" s="26" t="str">
        <f>'option-elements'!D129</f>
        <v>ファンコンベクター</v>
      </c>
      <c r="F129" s="28"/>
      <c r="H129" s="86" t="str">
        <f>テーブル2[[#This Row],[Sheet]]&amp;TEXT(ROW()-64,"00")</f>
        <v>暖房65</v>
      </c>
    </row>
    <row r="130" spans="1:8" x14ac:dyDescent="0.4">
      <c r="A130" s="4">
        <f t="shared" si="6"/>
        <v>129</v>
      </c>
      <c r="B130" s="26" t="s">
        <v>227</v>
      </c>
      <c r="C130" s="26" t="str">
        <f>'option-elements'!B163&amp;"_"&amp;'option-elements'!C163</f>
        <v>暖房03_その他の暖房設備機器の名称_その他の居室</v>
      </c>
      <c r="D130" s="26" t="str">
        <f>'option-elements'!D130</f>
        <v>ペレットストーブ</v>
      </c>
      <c r="F130" s="28"/>
      <c r="H130" s="86" t="str">
        <f>テーブル2[[#This Row],[Sheet]]&amp;TEXT(ROW()-64,"00")</f>
        <v>暖房66</v>
      </c>
    </row>
    <row r="131" spans="1:8" x14ac:dyDescent="0.4">
      <c r="A131" s="4">
        <f t="shared" si="6"/>
        <v>130</v>
      </c>
      <c r="B131" s="26" t="s">
        <v>227</v>
      </c>
      <c r="C131" s="26" t="str">
        <f>'option-elements'!B164&amp;"_"&amp;'option-elements'!C164</f>
        <v>暖房04_温水暖房機の種類</v>
      </c>
      <c r="D131" s="26" t="str">
        <f>'option-elements'!D131</f>
        <v>その他の暖房設備機器</v>
      </c>
      <c r="F131" s="28"/>
      <c r="H131" s="86" t="str">
        <f>テーブル2[[#This Row],[Sheet]]&amp;TEXT(ROW()-64,"00")</f>
        <v>暖房67</v>
      </c>
    </row>
    <row r="132" spans="1:8" x14ac:dyDescent="0.4">
      <c r="A132" s="4">
        <f t="shared" si="6"/>
        <v>131</v>
      </c>
      <c r="B132" s="26" t="s">
        <v>227</v>
      </c>
      <c r="C132" s="26" t="str">
        <f>'option-elements'!B165&amp;"_"&amp;'option-elements'!C165</f>
        <v>_</v>
      </c>
      <c r="D132" s="26" t="str">
        <f>'option-elements'!D132</f>
        <v>基準値の算定において想定される機器（増改築部分を対象に評価する場合の基準設定仕様）</v>
      </c>
      <c r="F132" s="28"/>
      <c r="H132" s="86" t="str">
        <f>テーブル2[[#This Row],[Sheet]]&amp;TEXT(ROW()-64,"00")</f>
        <v>暖房68</v>
      </c>
    </row>
    <row r="133" spans="1:8" x14ac:dyDescent="0.4">
      <c r="A133" s="4">
        <f t="shared" si="6"/>
        <v>132</v>
      </c>
      <c r="B133" s="26" t="s">
        <v>227</v>
      </c>
      <c r="C133" s="26" t="str">
        <f>'option-elements'!B166&amp;"_"&amp;'option-elements'!C166</f>
        <v>_</v>
      </c>
      <c r="D133" s="26" t="str">
        <f>'option-elements'!D133</f>
        <v>暖房設備機器または放熱器を設置しない</v>
      </c>
      <c r="F133" s="28"/>
      <c r="H133" s="86" t="str">
        <f>テーブル2[[#This Row],[Sheet]]&amp;TEXT(ROW()-64,"00")</f>
        <v>暖房69</v>
      </c>
    </row>
    <row r="134" spans="1:8" x14ac:dyDescent="0.4">
      <c r="A134" s="4">
        <f t="shared" si="6"/>
        <v>133</v>
      </c>
      <c r="B134" s="26" t="s">
        <v>227</v>
      </c>
      <c r="C134" s="26" t="str">
        <f>'option-elements'!B167&amp;"_"&amp;'option-elements'!C167</f>
        <v>_</v>
      </c>
      <c r="D134" s="26" t="str">
        <f>'option-elements'!D134</f>
        <v>入力しない（規定値を用いる）</v>
      </c>
      <c r="F134" s="28"/>
      <c r="H134" s="86" t="str">
        <f>テーブル2[[#This Row],[Sheet]]&amp;TEXT(ROW()-64,"00")</f>
        <v>暖房70</v>
      </c>
    </row>
    <row r="135" spans="1:8" x14ac:dyDescent="0.4">
      <c r="A135" s="4">
        <f t="shared" si="6"/>
        <v>134</v>
      </c>
      <c r="B135" s="26" t="s">
        <v>227</v>
      </c>
      <c r="C135" s="26" t="str">
        <f>'option-elements'!B168&amp;"_"&amp;'option-elements'!C168</f>
        <v>_</v>
      </c>
      <c r="D135" s="26" t="str">
        <f>'option-elements'!D135</f>
        <v>入力する</v>
      </c>
      <c r="F135" s="28"/>
      <c r="H135" s="86" t="str">
        <f>テーブル2[[#This Row],[Sheet]]&amp;TEXT(ROW()-64,"00")</f>
        <v>暖房71</v>
      </c>
    </row>
    <row r="136" spans="1:8" x14ac:dyDescent="0.4">
      <c r="A136" s="4">
        <f t="shared" si="6"/>
        <v>135</v>
      </c>
      <c r="B136" s="26" t="s">
        <v>227</v>
      </c>
      <c r="C136" s="26" t="str">
        <f>'option-elements'!B169&amp;"_"&amp;'option-elements'!C169</f>
        <v>_</v>
      </c>
      <c r="D136" s="26" t="str">
        <f>'option-elements'!D136</f>
        <v>86.0</v>
      </c>
      <c r="F136" s="28"/>
      <c r="H136" s="86" t="str">
        <f>テーブル2[[#This Row],[Sheet]]&amp;TEXT(ROW()-64,"00")</f>
        <v>暖房72</v>
      </c>
    </row>
    <row r="137" spans="1:8" x14ac:dyDescent="0.4">
      <c r="A137" s="4">
        <f t="shared" ref="A137:A151" si="7">ROW()-1</f>
        <v>136</v>
      </c>
      <c r="B137" s="26" t="s">
        <v>227</v>
      </c>
      <c r="C137" s="26" t="str">
        <f>'option-elements'!B170&amp;"_"&amp;'option-elements'!C170</f>
        <v>_</v>
      </c>
      <c r="D137" s="26" t="str">
        <f>'option-elements'!D137</f>
        <v>区分（い）</v>
      </c>
      <c r="F137" s="28"/>
      <c r="H137" s="86" t="str">
        <f>テーブル2[[#This Row],[Sheet]]&amp;TEXT(ROW()-64,"00")</f>
        <v>暖房73</v>
      </c>
    </row>
    <row r="138" spans="1:8" x14ac:dyDescent="0.4">
      <c r="A138" s="4">
        <f t="shared" si="7"/>
        <v>137</v>
      </c>
      <c r="B138" s="26" t="s">
        <v>227</v>
      </c>
      <c r="C138" s="26" t="str">
        <f>'option-elements'!B171&amp;"_"&amp;'option-elements'!C171</f>
        <v>_</v>
      </c>
      <c r="D138" s="26" t="str">
        <f>'option-elements'!D138</f>
        <v>区分（ろ）</v>
      </c>
      <c r="F138" s="28"/>
      <c r="H138" s="86" t="str">
        <f>テーブル2[[#This Row],[Sheet]]&amp;TEXT(ROW()-64,"00")</f>
        <v>暖房74</v>
      </c>
    </row>
    <row r="139" spans="1:8" x14ac:dyDescent="0.4">
      <c r="A139" s="4">
        <f t="shared" si="7"/>
        <v>138</v>
      </c>
      <c r="B139" s="26" t="s">
        <v>227</v>
      </c>
      <c r="C139" s="26" t="str">
        <f>'option-elements'!B172&amp;"_"&amp;'option-elements'!C172</f>
        <v>_</v>
      </c>
      <c r="D139" s="26" t="str">
        <f>'option-elements'!D139</f>
        <v>区分（は）</v>
      </c>
      <c r="F139" s="28"/>
      <c r="H139" s="86" t="str">
        <f>テーブル2[[#This Row],[Sheet]]&amp;TEXT(ROW()-64,"00")</f>
        <v>暖房75</v>
      </c>
    </row>
    <row r="140" spans="1:8" x14ac:dyDescent="0.4">
      <c r="A140" s="4">
        <f t="shared" si="7"/>
        <v>139</v>
      </c>
      <c r="B140" s="26" t="s">
        <v>227</v>
      </c>
      <c r="C140" s="26" t="str">
        <f>'option-elements'!B173&amp;"_"&amp;'option-elements'!C173</f>
        <v>_</v>
      </c>
      <c r="D140" s="26" t="str">
        <f>'option-elements'!D140</f>
        <v>評価しない、または搭載しない</v>
      </c>
      <c r="F140" s="28"/>
      <c r="H140" s="86" t="str">
        <f>テーブル2[[#This Row],[Sheet]]&amp;TEXT(ROW()-64,"00")</f>
        <v>暖房76</v>
      </c>
    </row>
    <row r="141" spans="1:8" x14ac:dyDescent="0.4">
      <c r="A141" s="4">
        <f t="shared" si="7"/>
        <v>140</v>
      </c>
      <c r="B141" s="26" t="s">
        <v>227</v>
      </c>
      <c r="C141" s="26" t="str">
        <f>'option-elements'!B174&amp;"_"&amp;'option-elements'!C174</f>
        <v>_</v>
      </c>
      <c r="D141" s="26" t="str">
        <f>'option-elements'!D141</f>
        <v>搭載する</v>
      </c>
      <c r="F141" s="28"/>
      <c r="H141" s="86" t="str">
        <f>テーブル2[[#This Row],[Sheet]]&amp;TEXT(ROW()-64,"00")</f>
        <v>暖房77</v>
      </c>
    </row>
    <row r="142" spans="1:8" x14ac:dyDescent="0.4">
      <c r="A142" s="4">
        <f t="shared" si="7"/>
        <v>141</v>
      </c>
      <c r="B142" s="26" t="s">
        <v>227</v>
      </c>
      <c r="C142" s="26" t="str">
        <f>'option-elements'!B175&amp;"_"&amp;'option-elements'!C175</f>
        <v>_</v>
      </c>
      <c r="D142" s="26" t="str">
        <f>'option-elements'!D142</f>
        <v>入力しない（規定値を用いる）</v>
      </c>
      <c r="F142" s="28"/>
      <c r="H142" s="86" t="str">
        <f>テーブル2[[#This Row],[Sheet]]&amp;TEXT(ROW()-64,"00")</f>
        <v>暖房78</v>
      </c>
    </row>
    <row r="143" spans="1:8" x14ac:dyDescent="0.4">
      <c r="A143" s="4">
        <f t="shared" si="7"/>
        <v>142</v>
      </c>
      <c r="B143" s="26" t="s">
        <v>227</v>
      </c>
      <c r="C143" s="26" t="str">
        <f>'option-elements'!B176&amp;"_"&amp;'option-elements'!C176</f>
        <v>暖房04_エネルギー消費効率の入力</v>
      </c>
      <c r="D143" s="26" t="str">
        <f>'option-elements'!D143</f>
        <v>入力する</v>
      </c>
      <c r="F143" s="28"/>
      <c r="H143" s="86" t="str">
        <f>テーブル2[[#This Row],[Sheet]]&amp;TEXT(ROW()-64,"00")</f>
        <v>暖房79</v>
      </c>
    </row>
    <row r="144" spans="1:8" x14ac:dyDescent="0.4">
      <c r="A144" s="4">
        <f t="shared" si="7"/>
        <v>143</v>
      </c>
      <c r="B144" s="26" t="s">
        <v>227</v>
      </c>
      <c r="C144" s="26" t="str">
        <f>'option-elements'!B177&amp;"_"&amp;'option-elements'!C177</f>
        <v>_</v>
      </c>
      <c r="D144" s="26" t="str">
        <f>'option-elements'!D144</f>
        <v>40.0</v>
      </c>
      <c r="F144" s="28"/>
      <c r="H144" s="86" t="str">
        <f>テーブル2[[#This Row],[Sheet]]&amp;TEXT(ROW()-64,"00")</f>
        <v>暖房80</v>
      </c>
    </row>
    <row r="145" spans="1:8" x14ac:dyDescent="0.4">
      <c r="A145" s="4">
        <f t="shared" si="7"/>
        <v>144</v>
      </c>
      <c r="B145" s="26" t="s">
        <v>227</v>
      </c>
      <c r="C145" s="26" t="str">
        <f>'option-elements'!B178&amp;"_"&amp;'option-elements'!C178</f>
        <v>暖房04_定格能力におけるエネルギー消費効率</v>
      </c>
      <c r="D145" s="26" t="str">
        <f>'option-elements'!D145</f>
        <v>10</v>
      </c>
      <c r="F145" s="28"/>
      <c r="H145" s="86" t="str">
        <f>テーブル2[[#This Row],[Sheet]]&amp;TEXT(ROW()-64,"00")</f>
        <v>暖房81</v>
      </c>
    </row>
    <row r="146" spans="1:8" x14ac:dyDescent="0.4">
      <c r="A146" s="4">
        <f t="shared" si="7"/>
        <v>145</v>
      </c>
      <c r="B146" s="26" t="s">
        <v>227</v>
      </c>
      <c r="C146" s="26" t="str">
        <f>'option-elements'!B179&amp;"_"&amp;'option-elements'!C179</f>
        <v>_</v>
      </c>
      <c r="D146" s="26" t="str">
        <f>'option-elements'!D146</f>
        <v>20</v>
      </c>
      <c r="F146" s="28"/>
      <c r="H146" s="86" t="str">
        <f>テーブル2[[#This Row],[Sheet]]&amp;TEXT(ROW()-64,"00")</f>
        <v>暖房82</v>
      </c>
    </row>
    <row r="147" spans="1:8" x14ac:dyDescent="0.4">
      <c r="A147" s="4">
        <f t="shared" si="7"/>
        <v>146</v>
      </c>
      <c r="B147" s="26" t="s">
        <v>227</v>
      </c>
      <c r="C147" s="26" t="str">
        <f>'option-elements'!B180&amp;"_"&amp;'option-elements'!C180</f>
        <v>_</v>
      </c>
      <c r="D147" s="26" t="str">
        <f>'option-elements'!D147</f>
        <v>30</v>
      </c>
      <c r="F147" s="28"/>
      <c r="H147" s="86" t="str">
        <f>テーブル2[[#This Row],[Sheet]]&amp;TEXT(ROW()-64,"00")</f>
        <v>暖房83</v>
      </c>
    </row>
    <row r="148" spans="1:8" x14ac:dyDescent="0.4">
      <c r="A148" s="4">
        <f t="shared" si="7"/>
        <v>147</v>
      </c>
      <c r="B148" s="26" t="s">
        <v>227</v>
      </c>
      <c r="C148" s="26" t="str">
        <f>'option-elements'!B181&amp;"_"&amp;'option-elements'!C181</f>
        <v>_</v>
      </c>
      <c r="D148" s="26" t="str">
        <f>'option-elements'!D148</f>
        <v>40</v>
      </c>
      <c r="F148" s="28"/>
      <c r="H148" s="86" t="str">
        <f>テーブル2[[#This Row],[Sheet]]&amp;TEXT(ROW()-64,"00")</f>
        <v>暖房84</v>
      </c>
    </row>
    <row r="149" spans="1:8" x14ac:dyDescent="0.4">
      <c r="A149" s="4">
        <f t="shared" si="7"/>
        <v>148</v>
      </c>
      <c r="B149" s="26" t="s">
        <v>227</v>
      </c>
      <c r="C149" s="26" t="str">
        <f>'option-elements'!B182&amp;"_"&amp;'option-elements'!C182</f>
        <v>_</v>
      </c>
      <c r="D149" s="26" t="str">
        <f>'option-elements'!D149</f>
        <v>50</v>
      </c>
      <c r="F149" s="28"/>
      <c r="H149" s="86" t="str">
        <f>テーブル2[[#This Row],[Sheet]]&amp;TEXT(ROW()-64,"00")</f>
        <v>暖房85</v>
      </c>
    </row>
    <row r="150" spans="1:8" x14ac:dyDescent="0.4">
      <c r="A150" s="4">
        <f t="shared" si="7"/>
        <v>149</v>
      </c>
      <c r="B150" s="26" t="s">
        <v>227</v>
      </c>
      <c r="C150" s="26" t="str">
        <f>'option-elements'!B183&amp;"_"&amp;'option-elements'!C183</f>
        <v>_</v>
      </c>
      <c r="D150" s="26" t="str">
        <f>'option-elements'!D150</f>
        <v>60</v>
      </c>
      <c r="F150" s="28"/>
      <c r="H150" s="86" t="str">
        <f>テーブル2[[#This Row],[Sheet]]&amp;TEXT(ROW()-64,"00")</f>
        <v>暖房86</v>
      </c>
    </row>
    <row r="151" spans="1:8" x14ac:dyDescent="0.4">
      <c r="A151" s="4">
        <f t="shared" si="7"/>
        <v>150</v>
      </c>
      <c r="B151" s="26" t="s">
        <v>227</v>
      </c>
      <c r="C151" s="26" t="str">
        <f>'option-elements'!B184&amp;"_"&amp;'option-elements'!C184</f>
        <v>_</v>
      </c>
      <c r="D151" s="26" t="str">
        <f>'option-elements'!D151</f>
        <v>70</v>
      </c>
      <c r="F151" s="28"/>
      <c r="H151" s="86" t="str">
        <f>テーブル2[[#This Row],[Sheet]]&amp;TEXT(ROW()-64,"00")</f>
        <v>暖房87</v>
      </c>
    </row>
    <row r="152" spans="1:8" x14ac:dyDescent="0.4">
      <c r="A152" s="4">
        <f t="shared" ref="A152:A173" si="8">ROW()-1</f>
        <v>151</v>
      </c>
      <c r="B152" s="26" t="s">
        <v>227</v>
      </c>
      <c r="C152" s="26" t="str">
        <f>'option-elements'!B185&amp;"_"&amp;'option-elements'!C185</f>
        <v>_</v>
      </c>
      <c r="D152" s="26" t="str">
        <f>'option-elements'!D152</f>
        <v>80</v>
      </c>
      <c r="F152" s="28"/>
      <c r="H152" s="86" t="str">
        <f>テーブル2[[#This Row],[Sheet]]&amp;TEXT(ROW()-64,"00")</f>
        <v>暖房88</v>
      </c>
    </row>
    <row r="153" spans="1:8" x14ac:dyDescent="0.4">
      <c r="A153" s="4">
        <f t="shared" si="8"/>
        <v>152</v>
      </c>
      <c r="B153" s="26" t="s">
        <v>227</v>
      </c>
      <c r="C153" s="26" t="str">
        <f>'option-elements'!B186&amp;"_"&amp;'option-elements'!C186</f>
        <v>_</v>
      </c>
      <c r="D153" s="26" t="str">
        <f>'option-elements'!D153</f>
        <v>90</v>
      </c>
      <c r="F153" s="28"/>
      <c r="H153" s="86" t="str">
        <f>テーブル2[[#This Row],[Sheet]]&amp;TEXT(ROW()-64,"00")</f>
        <v>暖房89</v>
      </c>
    </row>
    <row r="154" spans="1:8" x14ac:dyDescent="0.4">
      <c r="A154" s="4">
        <f t="shared" si="8"/>
        <v>153</v>
      </c>
      <c r="B154" s="26" t="s">
        <v>227</v>
      </c>
      <c r="C154" s="26" t="str">
        <f>'option-elements'!B187&amp;"_"&amp;'option-elements'!C187</f>
        <v>_</v>
      </c>
      <c r="D154" s="26" t="str">
        <f>'option-elements'!D154</f>
        <v>100</v>
      </c>
      <c r="F154" s="28"/>
      <c r="H154" s="86" t="str">
        <f>テーブル2[[#This Row],[Sheet]]&amp;TEXT(ROW()-64,"00")</f>
        <v>暖房90</v>
      </c>
    </row>
    <row r="155" spans="1:8" x14ac:dyDescent="0.4">
      <c r="A155" s="4">
        <f t="shared" si="8"/>
        <v>154</v>
      </c>
      <c r="B155" s="26" t="s">
        <v>227</v>
      </c>
      <c r="C155" s="26" t="str">
        <f>'option-elements'!B188&amp;"_"&amp;'option-elements'!C188</f>
        <v>暖房04_熱交換器タイプの入力</v>
      </c>
      <c r="D155" s="26" t="str">
        <f>'option-elements'!D155</f>
        <v>評価しない</v>
      </c>
      <c r="F155" s="28"/>
      <c r="H155" s="86" t="str">
        <f>テーブル2[[#This Row],[Sheet]]&amp;TEXT(ROW()-64,"00")</f>
        <v>暖房91</v>
      </c>
    </row>
    <row r="156" spans="1:8" x14ac:dyDescent="0.4">
      <c r="A156" s="4">
        <f t="shared" si="8"/>
        <v>155</v>
      </c>
      <c r="B156" s="26" t="s">
        <v>227</v>
      </c>
      <c r="C156" s="26" t="str">
        <f>'option-elements'!B189&amp;"_"&amp;'option-elements'!C189</f>
        <v>_</v>
      </c>
      <c r="D156" s="26" t="str">
        <f>'option-elements'!D156</f>
        <v>評価する</v>
      </c>
      <c r="F156" s="28"/>
      <c r="H156" s="86" t="str">
        <f>テーブル2[[#This Row],[Sheet]]&amp;TEXT(ROW()-64,"00")</f>
        <v>暖房92</v>
      </c>
    </row>
    <row r="157" spans="1:8" x14ac:dyDescent="0.4">
      <c r="A157" s="4">
        <f t="shared" si="8"/>
        <v>156</v>
      </c>
      <c r="B157" s="26" t="s">
        <v>227</v>
      </c>
      <c r="C157" s="26" t="str">
        <f>'option-elements'!B190&amp;"_"&amp;'option-elements'!C190</f>
        <v>暖房04_熱交換器タイプ</v>
      </c>
      <c r="D157" s="26" t="str">
        <f>'option-elements'!D157</f>
        <v>評価しない、または採用しない</v>
      </c>
      <c r="F157" s="28"/>
      <c r="H157" s="86" t="str">
        <f>テーブル2[[#This Row],[Sheet]]&amp;TEXT(ROW()-64,"00")</f>
        <v>暖房93</v>
      </c>
    </row>
    <row r="158" spans="1:8" x14ac:dyDescent="0.4">
      <c r="A158" s="4">
        <f t="shared" si="8"/>
        <v>157</v>
      </c>
      <c r="B158" s="26" t="s">
        <v>227</v>
      </c>
      <c r="C158" s="26" t="str">
        <f>'option-elements'!B191&amp;"_"&amp;'option-elements'!C191</f>
        <v>_</v>
      </c>
      <c r="D158" s="26" t="str">
        <f>'option-elements'!D158</f>
        <v>採用する</v>
      </c>
      <c r="F158" s="28"/>
      <c r="H158" s="86" t="str">
        <f>テーブル2[[#This Row],[Sheet]]&amp;TEXT(ROW()-64,"00")</f>
        <v>暖房94</v>
      </c>
    </row>
    <row r="159" spans="1:8" x14ac:dyDescent="0.4">
      <c r="A159" s="4">
        <f t="shared" si="8"/>
        <v>158</v>
      </c>
      <c r="B159" s="26" t="s">
        <v>227</v>
      </c>
      <c r="C159" s="26" t="str">
        <f>'option-elements'!B192&amp;"_"&amp;'option-elements'!C192</f>
        <v>_</v>
      </c>
      <c r="D159" s="26">
        <f>'option-elements'!D159</f>
        <v>12.5</v>
      </c>
      <c r="F159" s="28"/>
      <c r="H159" s="86" t="str">
        <f>テーブル2[[#This Row],[Sheet]]&amp;TEXT(ROW()-64,"00")</f>
        <v>暖房95</v>
      </c>
    </row>
    <row r="160" spans="1:8" x14ac:dyDescent="0.4">
      <c r="A160" s="4">
        <f t="shared" si="8"/>
        <v>159</v>
      </c>
      <c r="B160" s="26" t="s">
        <v>227</v>
      </c>
      <c r="C160" s="26" t="str">
        <f>'option-elements'!B193&amp;"_"&amp;'option-elements'!C193</f>
        <v>_</v>
      </c>
      <c r="D160" s="26">
        <f>'option-elements'!D160</f>
        <v>63.7</v>
      </c>
      <c r="F160" s="28"/>
      <c r="H160" s="86" t="str">
        <f>テーブル2[[#This Row],[Sheet]]&amp;TEXT(ROW()-64,"00")</f>
        <v>暖房96</v>
      </c>
    </row>
    <row r="161" spans="1:8" x14ac:dyDescent="0.4">
      <c r="A161" s="4">
        <f t="shared" si="8"/>
        <v>160</v>
      </c>
      <c r="B161" s="26" t="s">
        <v>227</v>
      </c>
      <c r="C161" s="26" t="str">
        <f>'option-elements'!B194&amp;"_"&amp;'option-elements'!C194</f>
        <v>_</v>
      </c>
      <c r="D161" s="26">
        <f>'option-elements'!D161</f>
        <v>155</v>
      </c>
      <c r="F161" s="28"/>
      <c r="H161" s="86" t="str">
        <f>テーブル2[[#This Row],[Sheet]]&amp;TEXT(ROW()-64,"00")</f>
        <v>暖房97</v>
      </c>
    </row>
    <row r="162" spans="1:8" x14ac:dyDescent="0.4">
      <c r="A162" s="4">
        <f t="shared" si="8"/>
        <v>161</v>
      </c>
      <c r="B162" s="26" t="s">
        <v>227</v>
      </c>
      <c r="C162" s="26" t="str">
        <f>'option-elements'!B195&amp;"_"&amp;'option-elements'!C195</f>
        <v>暖房04_その他の温水暖房機の名称</v>
      </c>
      <c r="D162" s="26">
        <f>'option-elements'!D162</f>
        <v>134</v>
      </c>
      <c r="F162" s="28"/>
      <c r="H162" s="86" t="str">
        <f>テーブル2[[#This Row],[Sheet]]&amp;TEXT(ROW()-64,"00")</f>
        <v>暖房98</v>
      </c>
    </row>
    <row r="163" spans="1:8" x14ac:dyDescent="0.4">
      <c r="A163" s="4">
        <f t="shared" si="8"/>
        <v>162</v>
      </c>
      <c r="B163" s="26" t="s">
        <v>227</v>
      </c>
      <c r="C163" s="26" t="str">
        <f>'option-elements'!B196&amp;"_"&amp;'option-elements'!C196</f>
        <v>暖房04_断熱配管</v>
      </c>
      <c r="D163" s="26" t="str">
        <f>'option-elements'!D163</f>
        <v>（その他の暖房機器の名称）</v>
      </c>
      <c r="F163" s="28"/>
      <c r="H163" s="86" t="str">
        <f>テーブル2[[#This Row],[Sheet]]&amp;TEXT(ROW()-64,"00")</f>
        <v>暖房99</v>
      </c>
    </row>
    <row r="164" spans="1:8" x14ac:dyDescent="0.4">
      <c r="A164" s="4">
        <f t="shared" si="8"/>
        <v>163</v>
      </c>
      <c r="B164" s="26" t="s">
        <v>227</v>
      </c>
      <c r="C164" s="26" t="str">
        <f>'option-elements'!B197&amp;"_"&amp;'option-elements'!C197</f>
        <v>_</v>
      </c>
      <c r="D164" s="26" t="str">
        <f>'option-elements'!D164</f>
        <v>ガス従来型温水暖房機</v>
      </c>
      <c r="F164" s="28"/>
      <c r="H164" s="86" t="str">
        <f>テーブル2[[#This Row],[Sheet]]&amp;TEXT(ROW()-64,"00")</f>
        <v>暖房100</v>
      </c>
    </row>
    <row r="165" spans="1:8" x14ac:dyDescent="0.4">
      <c r="A165" s="4">
        <f t="shared" si="8"/>
        <v>164</v>
      </c>
      <c r="B165" s="26" t="s">
        <v>227</v>
      </c>
      <c r="C165" s="26" t="str">
        <f>'option-elements'!B198&amp;"_"&amp;'option-elements'!C198</f>
        <v>暖房04_配管が通過する空間</v>
      </c>
      <c r="D165" s="26" t="str">
        <f>'option-elements'!D165</f>
        <v>ガス潜熱回収型温水暖房機</v>
      </c>
      <c r="F165" s="28"/>
      <c r="H165" s="86" t="str">
        <f>テーブル2[[#This Row],[Sheet]]&amp;TEXT(ROW()-64,"00")</f>
        <v>暖房101</v>
      </c>
    </row>
    <row r="166" spans="1:8" x14ac:dyDescent="0.4">
      <c r="A166" s="4">
        <f t="shared" si="8"/>
        <v>165</v>
      </c>
      <c r="B166" s="26" t="s">
        <v>227</v>
      </c>
      <c r="C166" s="26" t="str">
        <f>'option-elements'!B199&amp;"_"&amp;'option-elements'!C199</f>
        <v>_</v>
      </c>
      <c r="D166" s="26" t="str">
        <f>'option-elements'!D166</f>
        <v>石油従来型温水暖房機</v>
      </c>
      <c r="F166" s="28"/>
      <c r="H166" s="86" t="str">
        <f>テーブル2[[#This Row],[Sheet]]&amp;TEXT(ROW()-64,"00")</f>
        <v>暖房102</v>
      </c>
    </row>
    <row r="167" spans="1:8" x14ac:dyDescent="0.4">
      <c r="A167" s="4">
        <f t="shared" si="8"/>
        <v>166</v>
      </c>
      <c r="B167" s="26" t="s">
        <v>227</v>
      </c>
      <c r="C167" s="26" t="str">
        <f>'option-elements'!B200&amp;"_"&amp;'option-elements'!C200</f>
        <v>暖房05_暖房設備機器の種類</v>
      </c>
      <c r="D167" s="26" t="str">
        <f>'option-elements'!D167</f>
        <v>石油潜熱回収型温水暖房機</v>
      </c>
      <c r="F167" s="28"/>
      <c r="H167" s="86" t="str">
        <f>テーブル2[[#This Row],[Sheet]]&amp;TEXT(ROW()-64,"00")</f>
        <v>暖房103</v>
      </c>
    </row>
    <row r="168" spans="1:8" x14ac:dyDescent="0.4">
      <c r="A168" s="4">
        <f t="shared" si="8"/>
        <v>167</v>
      </c>
      <c r="B168" s="26" t="s">
        <v>227</v>
      </c>
      <c r="C168" s="26" t="str">
        <f>'option-elements'!B201&amp;"_"&amp;'option-elements'!C201</f>
        <v>暖房05_ダクトが通過する空間</v>
      </c>
      <c r="D168" s="26" t="str">
        <f>'option-elements'!D168</f>
        <v>電気ヒートポンプ温水暖房機（フロン系冷媒）</v>
      </c>
      <c r="F168" s="28"/>
      <c r="H168" s="86" t="str">
        <f>テーブル2[[#This Row],[Sheet]]&amp;TEXT(ROW()-64,"00")</f>
        <v>暖房104</v>
      </c>
    </row>
    <row r="169" spans="1:8" x14ac:dyDescent="0.4">
      <c r="A169" s="4">
        <f t="shared" si="8"/>
        <v>168</v>
      </c>
      <c r="B169" s="26" t="s">
        <v>227</v>
      </c>
      <c r="C169" s="26" t="str">
        <f>'option-elements'!B202&amp;"_"&amp;'option-elements'!C202</f>
        <v>_</v>
      </c>
      <c r="D169" s="26" t="str">
        <f>'option-elements'!D169</f>
        <v>電気ヒーター温水暖房機</v>
      </c>
      <c r="F169" s="28"/>
      <c r="H169" s="86" t="str">
        <f>テーブル2[[#This Row],[Sheet]]&amp;TEXT(ROW()-64,"00")</f>
        <v>暖房105</v>
      </c>
    </row>
    <row r="170" spans="1:8" x14ac:dyDescent="0.4">
      <c r="A170" s="4">
        <f t="shared" si="8"/>
        <v>169</v>
      </c>
      <c r="B170" s="26" t="s">
        <v>227</v>
      </c>
      <c r="C170" s="26" t="str">
        <f>'option-elements'!B203&amp;"_"&amp;'option-elements'!C203</f>
        <v>暖房05_VAV方式</v>
      </c>
      <c r="D170" s="26" t="str">
        <f>'option-elements'!D170</f>
        <v>地中熱ヒートポンプ温水暖房機</v>
      </c>
      <c r="F170" s="28"/>
      <c r="H170" s="86" t="str">
        <f>テーブル2[[#This Row],[Sheet]]&amp;TEXT(ROW()-64,"00")</f>
        <v>暖房106</v>
      </c>
    </row>
    <row r="171" spans="1:8" x14ac:dyDescent="0.4">
      <c r="A171" s="4">
        <f t="shared" si="8"/>
        <v>170</v>
      </c>
      <c r="B171" s="26" t="s">
        <v>227</v>
      </c>
      <c r="C171" s="26" t="str">
        <f>'option-elements'!B204&amp;"_"&amp;'option-elements'!C204</f>
        <v>_</v>
      </c>
      <c r="D171" s="26" t="str">
        <f>'option-elements'!D171</f>
        <v>給湯・温水暖房一体型</v>
      </c>
      <c r="F171" s="28"/>
      <c r="H171" s="86" t="str">
        <f>テーブル2[[#This Row],[Sheet]]&amp;TEXT(ROW()-64,"00")</f>
        <v>暖房107</v>
      </c>
    </row>
    <row r="172" spans="1:8" x14ac:dyDescent="0.4">
      <c r="A172" s="4">
        <f t="shared" si="8"/>
        <v>171</v>
      </c>
      <c r="B172" s="26" t="s">
        <v>227</v>
      </c>
      <c r="C172" s="26" t="str">
        <f>'option-elements'!B205&amp;"_"&amp;'option-elements'!C205</f>
        <v>暖房05_全般換気機能</v>
      </c>
      <c r="D172" s="26" t="str">
        <f>'option-elements'!D172</f>
        <v>コージェネレーション</v>
      </c>
      <c r="F172" s="28"/>
      <c r="H172" s="86" t="str">
        <f>テーブル2[[#This Row],[Sheet]]&amp;TEXT(ROW()-64,"00")</f>
        <v>暖房108</v>
      </c>
    </row>
    <row r="173" spans="1:8" x14ac:dyDescent="0.4">
      <c r="A173" s="4">
        <f t="shared" si="8"/>
        <v>172</v>
      </c>
      <c r="B173" s="26" t="s">
        <v>227</v>
      </c>
      <c r="C173" s="26" t="str">
        <f>'option-elements'!B206&amp;"_"&amp;'option-elements'!C206</f>
        <v>_</v>
      </c>
      <c r="D173" s="26" t="str">
        <f>'option-elements'!D173</f>
        <v>その他の温水暖房機</v>
      </c>
      <c r="F173" s="28"/>
      <c r="H173" s="86" t="str">
        <f>テーブル2[[#This Row],[Sheet]]&amp;TEXT(ROW()-64,"00")</f>
        <v>暖房109</v>
      </c>
    </row>
    <row r="174" spans="1:8" x14ac:dyDescent="0.4">
      <c r="A174" s="4">
        <f t="shared" ref="A174:A192" si="9">ROW()-1</f>
        <v>173</v>
      </c>
      <c r="B174" s="26" t="s">
        <v>227</v>
      </c>
      <c r="C174" s="26" t="str">
        <f>'option-elements'!B207&amp;"_"&amp;'option-elements'!C207</f>
        <v>暖房05_機器の仕様の入力</v>
      </c>
      <c r="D174" s="26" t="str">
        <f>'option-elements'!D174</f>
        <v>基準値の算定において想定される機器（増改築部分を対象に評価する場合の基準設定仕様）</v>
      </c>
      <c r="F174" s="28"/>
      <c r="H174" s="86" t="str">
        <f>テーブル2[[#This Row],[Sheet]]&amp;TEXT(ROW()-64,"00")</f>
        <v>暖房110</v>
      </c>
    </row>
    <row r="175" spans="1:8" x14ac:dyDescent="0.4">
      <c r="A175" s="4">
        <f t="shared" si="9"/>
        <v>174</v>
      </c>
      <c r="B175" s="26" t="s">
        <v>227</v>
      </c>
      <c r="C175" s="26" t="str">
        <f>'option-elements'!B208&amp;"_"&amp;'option-elements'!C208</f>
        <v>_</v>
      </c>
      <c r="D175" s="26" t="str">
        <f>'option-elements'!D175</f>
        <v>温水暖房機を設置しない</v>
      </c>
      <c r="F175" s="28"/>
      <c r="H175" s="86" t="str">
        <f>テーブル2[[#This Row],[Sheet]]&amp;TEXT(ROW()-64,"00")</f>
        <v>暖房111</v>
      </c>
    </row>
    <row r="176" spans="1:8" x14ac:dyDescent="0.4">
      <c r="A176" s="4">
        <f t="shared" si="9"/>
        <v>175</v>
      </c>
      <c r="B176" s="26" t="s">
        <v>227</v>
      </c>
      <c r="C176" s="26" t="str">
        <f>'option-elements'!B209&amp;"_"&amp;'option-elements'!C209</f>
        <v>_</v>
      </c>
      <c r="D176" s="26" t="str">
        <f>'option-elements'!D176</f>
        <v>入力しない（規定値を用いる）</v>
      </c>
      <c r="F176" s="28"/>
      <c r="H176" s="86" t="str">
        <f>テーブル2[[#This Row],[Sheet]]&amp;TEXT(ROW()-64,"00")</f>
        <v>暖房112</v>
      </c>
    </row>
    <row r="177" spans="1:8" x14ac:dyDescent="0.4">
      <c r="A177" s="4">
        <f t="shared" si="9"/>
        <v>176</v>
      </c>
      <c r="B177" s="26" t="s">
        <v>227</v>
      </c>
      <c r="C177" s="26" t="str">
        <f>'option-elements'!B210&amp;"_"&amp;'option-elements'!C210</f>
        <v>暖房05_定格暖房能力試験_能力</v>
      </c>
      <c r="D177" s="26" t="str">
        <f>'option-elements'!D177</f>
        <v>入力する</v>
      </c>
      <c r="F177" s="28"/>
      <c r="H177" s="86" t="str">
        <f>テーブル2[[#This Row],[Sheet]]&amp;TEXT(ROW()-64,"00")</f>
        <v>暖房113</v>
      </c>
    </row>
    <row r="178" spans="1:8" x14ac:dyDescent="0.4">
      <c r="A178" s="4">
        <f t="shared" si="9"/>
        <v>177</v>
      </c>
      <c r="B178" s="26" t="s">
        <v>227</v>
      </c>
      <c r="C178" s="26" t="str">
        <f>'option-elements'!B211&amp;"_"&amp;'option-elements'!C211</f>
        <v>暖房05_定格暖房能力試験_消費電力</v>
      </c>
      <c r="D178" s="26" t="str">
        <f>'option-elements'!D178</f>
        <v>11.0</v>
      </c>
      <c r="F178" s="28"/>
      <c r="H178" s="86" t="str">
        <f>テーブル2[[#This Row],[Sheet]]&amp;TEXT(ROW()-64,"00")</f>
        <v>暖房114</v>
      </c>
    </row>
    <row r="179" spans="1:8" x14ac:dyDescent="0.4">
      <c r="A179" s="4">
        <f t="shared" si="9"/>
        <v>178</v>
      </c>
      <c r="B179" s="26" t="s">
        <v>227</v>
      </c>
      <c r="C179" s="26" t="str">
        <f>'option-elements'!B212&amp;"_"&amp;'option-elements'!C212</f>
        <v xml:space="preserve">暖房05_定格暖房能力試験_風量 </v>
      </c>
      <c r="D179" s="26" t="str">
        <f>'option-elements'!D179</f>
        <v>21.0</v>
      </c>
      <c r="F179" s="28"/>
      <c r="H179" s="86" t="str">
        <f>テーブル2[[#This Row],[Sheet]]&amp;TEXT(ROW()-64,"00")</f>
        <v>暖房115</v>
      </c>
    </row>
    <row r="180" spans="1:8" x14ac:dyDescent="0.4">
      <c r="A180" s="4">
        <f t="shared" si="9"/>
        <v>179</v>
      </c>
      <c r="B180" s="26" t="s">
        <v>227</v>
      </c>
      <c r="C180" s="26" t="str">
        <f>'option-elements'!B213&amp;"_"&amp;'option-elements'!C213</f>
        <v>暖房05_定格暖房能力試験_室内側送風機の消費電力</v>
      </c>
      <c r="D180" s="26" t="str">
        <f>'option-elements'!D180</f>
        <v>31.0</v>
      </c>
      <c r="F180" s="28"/>
      <c r="H180" s="86" t="str">
        <f>テーブル2[[#This Row],[Sheet]]&amp;TEXT(ROW()-64,"00")</f>
        <v>暖房116</v>
      </c>
    </row>
    <row r="181" spans="1:8" x14ac:dyDescent="0.4">
      <c r="A181" s="4">
        <f t="shared" si="9"/>
        <v>180</v>
      </c>
      <c r="B181" s="26" t="s">
        <v>227</v>
      </c>
      <c r="C181" s="26" t="str">
        <f>'option-elements'!B214&amp;"_"&amp;'option-elements'!C214</f>
        <v>暖房05_中間暖房能力試験_能力</v>
      </c>
      <c r="D181" s="26" t="str">
        <f>'option-elements'!D181</f>
        <v>41.0</v>
      </c>
      <c r="F181" s="28"/>
      <c r="H181" s="86" t="str">
        <f>テーブル2[[#This Row],[Sheet]]&amp;TEXT(ROW()-64,"00")</f>
        <v>暖房117</v>
      </c>
    </row>
    <row r="182" spans="1:8" x14ac:dyDescent="0.4">
      <c r="A182" s="4">
        <f t="shared" si="9"/>
        <v>181</v>
      </c>
      <c r="B182" s="26" t="s">
        <v>227</v>
      </c>
      <c r="C182" s="26" t="str">
        <f>'option-elements'!B215&amp;"_"&amp;'option-elements'!C215</f>
        <v>暖房05_中間暖房能力試験_消費電力</v>
      </c>
      <c r="D182" s="26" t="str">
        <f>'option-elements'!D182</f>
        <v>51.0</v>
      </c>
      <c r="F182" s="28"/>
      <c r="H182" s="86" t="str">
        <f>テーブル2[[#This Row],[Sheet]]&amp;TEXT(ROW()-64,"00")</f>
        <v>暖房118</v>
      </c>
    </row>
    <row r="183" spans="1:8" x14ac:dyDescent="0.4">
      <c r="A183" s="4">
        <f t="shared" si="9"/>
        <v>182</v>
      </c>
      <c r="B183" s="26" t="s">
        <v>227</v>
      </c>
      <c r="C183" s="26" t="str">
        <f>'option-elements'!B216&amp;"_"&amp;'option-elements'!C216</f>
        <v xml:space="preserve">暖房05_中間暖房能力試験_風量 </v>
      </c>
      <c r="D183" s="26" t="str">
        <f>'option-elements'!D183</f>
        <v>61.0</v>
      </c>
      <c r="F183" s="28"/>
      <c r="H183" s="86" t="str">
        <f>テーブル2[[#This Row],[Sheet]]&amp;TEXT(ROW()-64,"00")</f>
        <v>暖房119</v>
      </c>
    </row>
    <row r="184" spans="1:8" x14ac:dyDescent="0.4">
      <c r="A184" s="4">
        <f t="shared" si="9"/>
        <v>183</v>
      </c>
      <c r="B184" s="26" t="s">
        <v>227</v>
      </c>
      <c r="C184" s="26" t="str">
        <f>'option-elements'!B217&amp;"_"&amp;'option-elements'!C217</f>
        <v>暖房05_中間暖房能力試験_室内側送風機の消費電力</v>
      </c>
      <c r="D184" s="26" t="str">
        <f>'option-elements'!D184</f>
        <v>71.0</v>
      </c>
      <c r="F184" s="28"/>
      <c r="H184" s="86" t="str">
        <f>テーブル2[[#This Row],[Sheet]]&amp;TEXT(ROW()-64,"00")</f>
        <v>暖房120</v>
      </c>
    </row>
    <row r="185" spans="1:8" x14ac:dyDescent="0.4">
      <c r="A185" s="4">
        <f t="shared" si="9"/>
        <v>184</v>
      </c>
      <c r="B185" s="26" t="s">
        <v>227</v>
      </c>
      <c r="C185" s="26" t="str">
        <f>'option-elements'!B218&amp;"_"&amp;'option-elements'!C218</f>
        <v>暖房05_設計風量の入力</v>
      </c>
      <c r="D185" s="26" t="str">
        <f>'option-elements'!D185</f>
        <v>81.0</v>
      </c>
      <c r="F185" s="28"/>
      <c r="H185" s="86" t="str">
        <f>テーブル2[[#This Row],[Sheet]]&amp;TEXT(ROW()-64,"00")</f>
        <v>暖房121</v>
      </c>
    </row>
    <row r="186" spans="1:8" x14ac:dyDescent="0.4">
      <c r="A186" s="4">
        <f t="shared" si="9"/>
        <v>185</v>
      </c>
      <c r="B186" s="26" t="s">
        <v>227</v>
      </c>
      <c r="C186" s="26" t="str">
        <f>'option-elements'!B219&amp;"_"&amp;'option-elements'!C219</f>
        <v>_</v>
      </c>
      <c r="D186" s="26" t="str">
        <f>'option-elements'!D186</f>
        <v>91.0</v>
      </c>
      <c r="F186" s="28"/>
      <c r="H186" s="86" t="str">
        <f>テーブル2[[#This Row],[Sheet]]&amp;TEXT(ROW()-64,"00")</f>
        <v>暖房122</v>
      </c>
    </row>
    <row r="187" spans="1:8" x14ac:dyDescent="0.4">
      <c r="A187" s="4">
        <f t="shared" si="9"/>
        <v>186</v>
      </c>
      <c r="B187" s="26" t="s">
        <v>227</v>
      </c>
      <c r="C187" s="26" t="str">
        <f>'option-elements'!B220&amp;"_"&amp;'option-elements'!C220</f>
        <v>暖房05_設計風量</v>
      </c>
      <c r="D187" s="26" t="str">
        <f>'option-elements'!D187</f>
        <v>100</v>
      </c>
      <c r="F187" s="28"/>
      <c r="H187" s="86" t="str">
        <f>テーブル2[[#This Row],[Sheet]]&amp;TEXT(ROW()-64,"00")</f>
        <v>暖房123</v>
      </c>
    </row>
    <row r="188" spans="1:8" x14ac:dyDescent="0.4">
      <c r="A188" s="4">
        <f t="shared" si="9"/>
        <v>187</v>
      </c>
      <c r="B188" s="26" t="s">
        <v>227</v>
      </c>
      <c r="C188" s="26" t="str">
        <f>'option-elements'!B221&amp;"_"&amp;'option-elements'!C221</f>
        <v>_</v>
      </c>
      <c r="D188" s="26" t="str">
        <f>'option-elements'!D188</f>
        <v>入力しない（規定値を用いる）</v>
      </c>
      <c r="F188" s="28"/>
      <c r="H188" s="86" t="str">
        <f>テーブル2[[#This Row],[Sheet]]&amp;TEXT(ROW()-64,"00")</f>
        <v>暖房124</v>
      </c>
    </row>
    <row r="189" spans="1:8" x14ac:dyDescent="0.4">
      <c r="A189" s="4">
        <f t="shared" si="9"/>
        <v>188</v>
      </c>
      <c r="B189" s="26" t="s">
        <v>227</v>
      </c>
      <c r="C189" s="26" t="str">
        <f>'option-elements'!B222&amp;"_"&amp;'option-elements'!C222</f>
        <v>_</v>
      </c>
      <c r="D189" s="26" t="str">
        <f>'option-elements'!D189</f>
        <v>入力する</v>
      </c>
      <c r="F189" s="28"/>
      <c r="H189" s="86" t="str">
        <f>テーブル2[[#This Row],[Sheet]]&amp;TEXT(ROW()-64,"00")</f>
        <v>暖房125</v>
      </c>
    </row>
    <row r="190" spans="1:8" x14ac:dyDescent="0.4">
      <c r="A190" s="4">
        <f t="shared" si="9"/>
        <v>189</v>
      </c>
      <c r="B190" s="26" t="s">
        <v>227</v>
      </c>
      <c r="C190" s="26" t="str">
        <f>'option-elements'!B223&amp;"_"&amp;'option-elements'!C223</f>
        <v>_</v>
      </c>
      <c r="D190" s="26">
        <f>'option-elements'!D190</f>
        <v>1</v>
      </c>
      <c r="F190" s="28"/>
      <c r="H190" s="86" t="str">
        <f>テーブル2[[#This Row],[Sheet]]&amp;TEXT(ROW()-64,"00")</f>
        <v>暖房126</v>
      </c>
    </row>
    <row r="191" spans="1:8" x14ac:dyDescent="0.4">
      <c r="A191" s="4">
        <f t="shared" si="9"/>
        <v>190</v>
      </c>
      <c r="B191" s="26" t="s">
        <v>227</v>
      </c>
      <c r="C191" s="26" t="str">
        <f>'option-elements'!B224&amp;"_"&amp;'option-elements'!C224</f>
        <v>_</v>
      </c>
      <c r="D191" s="26">
        <f>'option-elements'!D191</f>
        <v>2</v>
      </c>
      <c r="F191" s="28"/>
      <c r="H191" s="86" t="str">
        <f>テーブル2[[#This Row],[Sheet]]&amp;TEXT(ROW()-64,"00")</f>
        <v>暖房127</v>
      </c>
    </row>
    <row r="192" spans="1:8" x14ac:dyDescent="0.4">
      <c r="A192" s="4">
        <f t="shared" si="9"/>
        <v>191</v>
      </c>
      <c r="B192" s="26" t="s">
        <v>227</v>
      </c>
      <c r="C192" s="26" t="str">
        <f>'option-elements'!B225&amp;"_"&amp;'option-elements'!C225</f>
        <v>_</v>
      </c>
      <c r="D192" s="26">
        <f>'option-elements'!D192</f>
        <v>3</v>
      </c>
      <c r="F192" s="28"/>
      <c r="H192" s="86" t="str">
        <f>テーブル2[[#This Row],[Sheet]]&amp;TEXT(ROW()-64,"00")</f>
        <v>暖房128</v>
      </c>
    </row>
    <row r="193" spans="1:8" x14ac:dyDescent="0.4">
      <c r="A193" s="4">
        <f t="shared" ref="A193:A201" si="10">ROW()-1</f>
        <v>192</v>
      </c>
      <c r="B193" s="26" t="s">
        <v>227</v>
      </c>
      <c r="C193" s="26" t="str">
        <f>'option-elements'!B226&amp;"_"&amp;'option-elements'!C226</f>
        <v>_</v>
      </c>
      <c r="D193" s="26">
        <f>'option-elements'!D193</f>
        <v>4</v>
      </c>
      <c r="F193" s="28"/>
      <c r="H193" s="86" t="str">
        <f>テーブル2[[#This Row],[Sheet]]&amp;TEXT(ROW()-64,"00")</f>
        <v>暖房129</v>
      </c>
    </row>
    <row r="194" spans="1:8" x14ac:dyDescent="0.4">
      <c r="A194" s="4">
        <f t="shared" si="10"/>
        <v>193</v>
      </c>
      <c r="B194" s="26" t="s">
        <v>227</v>
      </c>
      <c r="C194" s="26" t="str">
        <f>'option-elements'!B227&amp;"_"&amp;'option-elements'!C227</f>
        <v>_</v>
      </c>
      <c r="D194" s="26">
        <f>'option-elements'!D194</f>
        <v>5</v>
      </c>
      <c r="F194" s="28"/>
      <c r="H194" s="86" t="str">
        <f>テーブル2[[#This Row],[Sheet]]&amp;TEXT(ROW()-64,"00")</f>
        <v>暖房130</v>
      </c>
    </row>
    <row r="195" spans="1:8" x14ac:dyDescent="0.4">
      <c r="A195" s="4">
        <f t="shared" si="10"/>
        <v>194</v>
      </c>
      <c r="B195" s="26" t="s">
        <v>227</v>
      </c>
      <c r="C195" s="26" t="str">
        <f>'option-elements'!B228&amp;"_"&amp;'option-elements'!C228</f>
        <v>_</v>
      </c>
      <c r="D195" s="26" t="str">
        <f>'option-elements'!D195</f>
        <v>（その他の温水暖房機の名称）</v>
      </c>
      <c r="F195" s="28"/>
      <c r="H195" s="86" t="str">
        <f>テーブル2[[#This Row],[Sheet]]&amp;TEXT(ROW()-64,"00")</f>
        <v>暖房131</v>
      </c>
    </row>
    <row r="196" spans="1:8" x14ac:dyDescent="0.4">
      <c r="A196" s="4">
        <f t="shared" si="10"/>
        <v>195</v>
      </c>
      <c r="B196" s="26" t="s">
        <v>227</v>
      </c>
      <c r="C196" s="26" t="str">
        <f>'option-elements'!B229&amp;"_"&amp;'option-elements'!C229</f>
        <v>_</v>
      </c>
      <c r="D196" s="26" t="str">
        <f>'option-elements'!D196</f>
        <v>評価しない、または採用しない</v>
      </c>
      <c r="F196" s="28"/>
      <c r="H196" s="86" t="str">
        <f>テーブル2[[#This Row],[Sheet]]&amp;TEXT(ROW()-64,"00")</f>
        <v>暖房132</v>
      </c>
    </row>
    <row r="197" spans="1:8" x14ac:dyDescent="0.4">
      <c r="A197" s="4">
        <f t="shared" si="10"/>
        <v>196</v>
      </c>
      <c r="B197" s="26" t="s">
        <v>227</v>
      </c>
      <c r="C197" s="26" t="str">
        <f>'option-elements'!B230&amp;"_"&amp;'option-elements'!C230</f>
        <v>_</v>
      </c>
      <c r="D197" s="26" t="str">
        <f>'option-elements'!D197</f>
        <v>採用する</v>
      </c>
      <c r="F197" s="28"/>
      <c r="H197" s="86" t="str">
        <f>テーブル2[[#This Row],[Sheet]]&amp;TEXT(ROW()-64,"00")</f>
        <v>暖房133</v>
      </c>
    </row>
    <row r="198" spans="1:8" x14ac:dyDescent="0.4">
      <c r="A198" s="4">
        <f t="shared" si="10"/>
        <v>197</v>
      </c>
      <c r="B198" s="26" t="s">
        <v>227</v>
      </c>
      <c r="C198" s="26" t="str">
        <f>'option-elements'!B231&amp;"_"&amp;'option-elements'!C231</f>
        <v>_</v>
      </c>
      <c r="D198" s="26" t="str">
        <f>'option-elements'!D198</f>
        <v>評価しない、または全てもしくは一部が断熱区画外である</v>
      </c>
      <c r="F198" s="28"/>
      <c r="H198" s="86" t="str">
        <f>テーブル2[[#This Row],[Sheet]]&amp;TEXT(ROW()-64,"00")</f>
        <v>暖房134</v>
      </c>
    </row>
    <row r="199" spans="1:8" x14ac:dyDescent="0.4">
      <c r="A199" s="4">
        <f t="shared" si="10"/>
        <v>198</v>
      </c>
      <c r="B199" s="26" t="s">
        <v>227</v>
      </c>
      <c r="C199" s="26" t="str">
        <f>'option-elements'!B232&amp;"_"&amp;'option-elements'!C232</f>
        <v>_</v>
      </c>
      <c r="D199" s="26" t="str">
        <f>'option-elements'!D199</f>
        <v>全て断熱区画内である</v>
      </c>
      <c r="F199" s="28"/>
      <c r="H199" s="86" t="str">
        <f>テーブル2[[#This Row],[Sheet]]&amp;TEXT(ROW()-64,"00")</f>
        <v>暖房135</v>
      </c>
    </row>
    <row r="200" spans="1:8" x14ac:dyDescent="0.4">
      <c r="A200" s="4">
        <f t="shared" si="10"/>
        <v>199</v>
      </c>
      <c r="B200" s="26" t="s">
        <v>227</v>
      </c>
      <c r="C200" s="26" t="str">
        <f>'option-elements'!B233&amp;"_"&amp;'option-elements'!C233</f>
        <v>_</v>
      </c>
      <c r="D200" s="26" t="str">
        <f>'option-elements'!D200</f>
        <v>ダクト式セントラル空調機（ヒートポンプ式熱源）</v>
      </c>
      <c r="F200" s="28"/>
      <c r="H200" s="86" t="str">
        <f>テーブル2[[#This Row],[Sheet]]&amp;TEXT(ROW()-64,"00")</f>
        <v>暖房136</v>
      </c>
    </row>
    <row r="201" spans="1:8" x14ac:dyDescent="0.4">
      <c r="A201" s="4">
        <f t="shared" si="10"/>
        <v>200</v>
      </c>
      <c r="B201" s="26" t="s">
        <v>227</v>
      </c>
      <c r="C201" s="26" t="str">
        <f>'option-elements'!B234&amp;"_"&amp;'option-elements'!C234</f>
        <v>_</v>
      </c>
      <c r="D201" s="26" t="str">
        <f>'option-elements'!D201</f>
        <v>評価しない、または全てもしくは一部が断熱区画外である</v>
      </c>
      <c r="F201" s="28"/>
      <c r="H201" s="86" t="str">
        <f>テーブル2[[#This Row],[Sheet]]&amp;TEXT(ROW()-64,"00")</f>
        <v>暖房137</v>
      </c>
    </row>
    <row r="202" spans="1:8" x14ac:dyDescent="0.4">
      <c r="A202" s="4">
        <f t="shared" ref="A202:A209" si="11">ROW()-1</f>
        <v>201</v>
      </c>
      <c r="B202" s="26" t="s">
        <v>227</v>
      </c>
      <c r="C202" s="26" t="str">
        <f>'option-elements'!B235&amp;"_"&amp;'option-elements'!C235</f>
        <v>_</v>
      </c>
      <c r="D202" s="26" t="str">
        <f>'option-elements'!D202</f>
        <v>全て断熱区画内である</v>
      </c>
      <c r="F202" s="28"/>
      <c r="H202" s="86" t="str">
        <f>テーブル2[[#This Row],[Sheet]]&amp;TEXT(ROW()-64,"00")</f>
        <v>暖房138</v>
      </c>
    </row>
    <row r="203" spans="1:8" x14ac:dyDescent="0.4">
      <c r="A203" s="4">
        <f t="shared" si="11"/>
        <v>202</v>
      </c>
      <c r="B203" s="26" t="s">
        <v>227</v>
      </c>
      <c r="C203" s="26" t="str">
        <f>'option-elements'!B236&amp;"_"&amp;'option-elements'!C236</f>
        <v>_</v>
      </c>
      <c r="D203" s="26" t="str">
        <f>'option-elements'!D203</f>
        <v>採用しない</v>
      </c>
      <c r="F203" s="28"/>
      <c r="H203" s="86" t="str">
        <f>テーブル2[[#This Row],[Sheet]]&amp;TEXT(ROW()-64,"00")</f>
        <v>暖房139</v>
      </c>
    </row>
    <row r="204" spans="1:8" x14ac:dyDescent="0.4">
      <c r="A204" s="4">
        <f t="shared" si="11"/>
        <v>203</v>
      </c>
      <c r="B204" s="26" t="s">
        <v>227</v>
      </c>
      <c r="C204" s="26" t="str">
        <f>'option-elements'!B237&amp;"_"&amp;'option-elements'!C237</f>
        <v>_</v>
      </c>
      <c r="D204" s="26" t="str">
        <f>'option-elements'!D204</f>
        <v>採用する</v>
      </c>
      <c r="F204" s="28"/>
      <c r="H204" s="86" t="str">
        <f>テーブル2[[#This Row],[Sheet]]&amp;TEXT(ROW()-64,"00")</f>
        <v>暖房140</v>
      </c>
    </row>
    <row r="205" spans="1:8" x14ac:dyDescent="0.4">
      <c r="A205" s="4">
        <f t="shared" si="11"/>
        <v>204</v>
      </c>
      <c r="B205" s="26" t="s">
        <v>227</v>
      </c>
      <c r="C205" s="26" t="str">
        <f>'option-elements'!B238&amp;"_"&amp;'option-elements'!C238</f>
        <v>_</v>
      </c>
      <c r="D205" s="26" t="str">
        <f>'option-elements'!D205</f>
        <v>全般換気機能あり</v>
      </c>
      <c r="F205" s="28"/>
      <c r="H205" s="86" t="str">
        <f>テーブル2[[#This Row],[Sheet]]&amp;TEXT(ROW()-64,"00")</f>
        <v>暖房141</v>
      </c>
    </row>
    <row r="206" spans="1:8" x14ac:dyDescent="0.4">
      <c r="A206" s="4">
        <f t="shared" si="11"/>
        <v>205</v>
      </c>
      <c r="B206" s="26" t="s">
        <v>227</v>
      </c>
      <c r="C206" s="26" t="str">
        <f>'option-elements'!B239&amp;"_"&amp;'option-elements'!C239</f>
        <v>_</v>
      </c>
      <c r="D206" s="26" t="str">
        <f>'option-elements'!D206</f>
        <v>全般換気機能なし</v>
      </c>
      <c r="F206" s="28"/>
      <c r="H206" s="86" t="str">
        <f>テーブル2[[#This Row],[Sheet]]&amp;TEXT(ROW()-64,"00")</f>
        <v>暖房142</v>
      </c>
    </row>
    <row r="207" spans="1:8" x14ac:dyDescent="0.4">
      <c r="A207" s="4">
        <f t="shared" si="11"/>
        <v>206</v>
      </c>
      <c r="B207" s="26" t="s">
        <v>227</v>
      </c>
      <c r="C207" s="26" t="str">
        <f>'option-elements'!B240&amp;"_"&amp;'option-elements'!C240</f>
        <v>_</v>
      </c>
      <c r="D207" s="26" t="str">
        <f>'option-elements'!D207</f>
        <v>入力しない（規定値を用いる）</v>
      </c>
      <c r="F207" s="28"/>
      <c r="H207" s="86" t="str">
        <f>テーブル2[[#This Row],[Sheet]]&amp;TEXT(ROW()-64,"00")</f>
        <v>暖房143</v>
      </c>
    </row>
    <row r="208" spans="1:8" x14ac:dyDescent="0.4">
      <c r="A208" s="4">
        <f t="shared" si="11"/>
        <v>207</v>
      </c>
      <c r="B208" s="26" t="s">
        <v>227</v>
      </c>
      <c r="C208" s="26" t="str">
        <f>'option-elements'!B241&amp;"_"&amp;'option-elements'!C241</f>
        <v>_</v>
      </c>
      <c r="D208" s="26" t="str">
        <f>'option-elements'!D208</f>
        <v>定格能力試験の値を入力する</v>
      </c>
      <c r="F208" s="28"/>
      <c r="H208" s="86" t="str">
        <f>テーブル2[[#This Row],[Sheet]]&amp;TEXT(ROW()-64,"00")</f>
        <v>暖房144</v>
      </c>
    </row>
    <row r="209" spans="1:8" x14ac:dyDescent="0.4">
      <c r="A209" s="4">
        <f t="shared" si="11"/>
        <v>208</v>
      </c>
      <c r="B209" s="26" t="s">
        <v>227</v>
      </c>
      <c r="C209" s="26" t="str">
        <f>'option-elements'!B242&amp;"_"&amp;'option-elements'!C242</f>
        <v>_</v>
      </c>
      <c r="D209" s="26" t="str">
        <f>'option-elements'!D209</f>
        <v>定格能力試験と中間能力試験の値を入力する</v>
      </c>
      <c r="F209" s="28"/>
      <c r="H209" s="86" t="str">
        <f>テーブル2[[#This Row],[Sheet]]&amp;TEXT(ROW()-64,"00")</f>
        <v>暖房145</v>
      </c>
    </row>
    <row r="210" spans="1:8" x14ac:dyDescent="0.4">
      <c r="A210" s="4">
        <f t="shared" ref="A210:A216" si="12">ROW()-1</f>
        <v>209</v>
      </c>
      <c r="B210" s="26" t="s">
        <v>227</v>
      </c>
      <c r="C210" s="26" t="str">
        <f>'option-elements'!B243&amp;"_"&amp;'option-elements'!C243</f>
        <v>_</v>
      </c>
      <c r="D210" s="26">
        <f>'option-elements'!D210</f>
        <v>99</v>
      </c>
      <c r="F210" s="28"/>
      <c r="H210" s="86" t="str">
        <f>テーブル2[[#This Row],[Sheet]]&amp;TEXT(ROW()-64,"00")</f>
        <v>暖房146</v>
      </c>
    </row>
    <row r="211" spans="1:8" x14ac:dyDescent="0.4">
      <c r="A211" s="4">
        <f t="shared" si="12"/>
        <v>210</v>
      </c>
      <c r="B211" s="26" t="s">
        <v>227</v>
      </c>
      <c r="C211" s="26" t="str">
        <f>'option-elements'!B244&amp;"_"&amp;'option-elements'!C244</f>
        <v>_</v>
      </c>
      <c r="D211" s="26">
        <f>'option-elements'!D211</f>
        <v>99</v>
      </c>
      <c r="F211" s="28"/>
      <c r="H211" s="86" t="str">
        <f>テーブル2[[#This Row],[Sheet]]&amp;TEXT(ROW()-64,"00")</f>
        <v>暖房147</v>
      </c>
    </row>
    <row r="212" spans="1:8" x14ac:dyDescent="0.4">
      <c r="A212" s="4">
        <f t="shared" si="12"/>
        <v>211</v>
      </c>
      <c r="B212" s="26" t="s">
        <v>227</v>
      </c>
      <c r="C212" s="26" t="str">
        <f>'option-elements'!B245&amp;"_"&amp;'option-elements'!C245</f>
        <v>_</v>
      </c>
      <c r="D212" s="26">
        <f>'option-elements'!D212</f>
        <v>99</v>
      </c>
      <c r="F212" s="28"/>
      <c r="H212" s="86" t="str">
        <f>テーブル2[[#This Row],[Sheet]]&amp;TEXT(ROW()-64,"00")</f>
        <v>暖房148</v>
      </c>
    </row>
    <row r="213" spans="1:8" x14ac:dyDescent="0.4">
      <c r="A213" s="4">
        <f t="shared" si="12"/>
        <v>212</v>
      </c>
      <c r="B213" s="26" t="s">
        <v>227</v>
      </c>
      <c r="C213" s="26" t="str">
        <f>'option-elements'!B246&amp;"_"&amp;'option-elements'!C246</f>
        <v>_</v>
      </c>
      <c r="D213" s="26">
        <f>'option-elements'!D213</f>
        <v>99</v>
      </c>
      <c r="F213" s="28"/>
      <c r="H213" s="86" t="str">
        <f>テーブル2[[#This Row],[Sheet]]&amp;TEXT(ROW()-64,"00")</f>
        <v>暖房149</v>
      </c>
    </row>
    <row r="214" spans="1:8" x14ac:dyDescent="0.4">
      <c r="A214" s="4">
        <f t="shared" si="12"/>
        <v>213</v>
      </c>
      <c r="B214" s="26" t="s">
        <v>227</v>
      </c>
      <c r="C214" s="26" t="str">
        <f>'option-elements'!B247&amp;"_"&amp;'option-elements'!C247</f>
        <v>_</v>
      </c>
      <c r="D214" s="26">
        <f>'option-elements'!D214</f>
        <v>99</v>
      </c>
      <c r="F214" s="28"/>
      <c r="H214" s="86" t="str">
        <f>テーブル2[[#This Row],[Sheet]]&amp;TEXT(ROW()-64,"00")</f>
        <v>暖房150</v>
      </c>
    </row>
    <row r="215" spans="1:8" x14ac:dyDescent="0.4">
      <c r="A215" s="4">
        <f t="shared" si="12"/>
        <v>214</v>
      </c>
      <c r="B215" s="26" t="s">
        <v>227</v>
      </c>
      <c r="C215" s="26" t="str">
        <f>'option-elements'!B248&amp;"_"&amp;'option-elements'!C248</f>
        <v>_</v>
      </c>
      <c r="D215" s="26">
        <f>'option-elements'!D215</f>
        <v>99</v>
      </c>
      <c r="F215" s="28"/>
      <c r="H215" s="86" t="str">
        <f>テーブル2[[#This Row],[Sheet]]&amp;TEXT(ROW()-64,"00")</f>
        <v>暖房151</v>
      </c>
    </row>
    <row r="216" spans="1:8" x14ac:dyDescent="0.4">
      <c r="A216" s="4">
        <f t="shared" si="12"/>
        <v>215</v>
      </c>
      <c r="B216" s="26" t="s">
        <v>227</v>
      </c>
      <c r="C216" s="26" t="str">
        <f>'option-elements'!B249&amp;"_"&amp;'option-elements'!C249</f>
        <v>_</v>
      </c>
      <c r="D216" s="26">
        <f>'option-elements'!D216</f>
        <v>99</v>
      </c>
      <c r="F216" s="28"/>
      <c r="H216" s="86" t="str">
        <f>テーブル2[[#This Row],[Sheet]]&amp;TEXT(ROW()-64,"00")</f>
        <v>暖房152</v>
      </c>
    </row>
    <row r="217" spans="1:8" x14ac:dyDescent="0.4">
      <c r="A217" s="4">
        <f t="shared" ref="A217:A220" si="13">ROW()-1</f>
        <v>216</v>
      </c>
      <c r="B217" s="26" t="s">
        <v>227</v>
      </c>
      <c r="C217" s="26" t="str">
        <f>'option-elements'!B250&amp;"_"&amp;'option-elements'!C250</f>
        <v>_</v>
      </c>
      <c r="D217" s="26">
        <f>'option-elements'!D217</f>
        <v>99</v>
      </c>
      <c r="F217" s="28"/>
      <c r="H217" s="86" t="str">
        <f>テーブル2[[#This Row],[Sheet]]&amp;TEXT(ROW()-64,"00")</f>
        <v>暖房153</v>
      </c>
    </row>
    <row r="218" spans="1:8" x14ac:dyDescent="0.4">
      <c r="A218" s="4">
        <f t="shared" si="13"/>
        <v>217</v>
      </c>
      <c r="B218" s="26" t="s">
        <v>227</v>
      </c>
      <c r="C218" s="26" t="str">
        <f>'option-elements'!B251&amp;"_"&amp;'option-elements'!C251</f>
        <v>_</v>
      </c>
      <c r="D218" s="26" t="str">
        <f>'option-elements'!D218</f>
        <v>入力しない（規定値を用いる）</v>
      </c>
      <c r="F218" s="28"/>
      <c r="H218" s="86" t="str">
        <f>テーブル2[[#This Row],[Sheet]]&amp;TEXT(ROW()-64,"00")</f>
        <v>暖房154</v>
      </c>
    </row>
    <row r="219" spans="1:8" x14ac:dyDescent="0.4">
      <c r="A219" s="4">
        <f t="shared" si="13"/>
        <v>218</v>
      </c>
      <c r="B219" s="26" t="s">
        <v>227</v>
      </c>
      <c r="C219" s="26" t="str">
        <f>'option-elements'!B252&amp;"_"&amp;'option-elements'!C252</f>
        <v>_</v>
      </c>
      <c r="D219" s="26" t="str">
        <f>'option-elements'!D219</f>
        <v>入力する</v>
      </c>
      <c r="F219" s="28"/>
      <c r="H219" s="86" t="str">
        <f>テーブル2[[#This Row],[Sheet]]&amp;TEXT(ROW()-64,"00")</f>
        <v>暖房155</v>
      </c>
    </row>
    <row r="220" spans="1:8" x14ac:dyDescent="0.4">
      <c r="A220" s="4">
        <f t="shared" si="13"/>
        <v>219</v>
      </c>
      <c r="B220" s="26" t="s">
        <v>227</v>
      </c>
      <c r="C220" s="26" t="str">
        <f>'option-elements'!B253&amp;"_"&amp;'option-elements'!C253</f>
        <v>_</v>
      </c>
      <c r="D220" s="26">
        <f>'option-elements'!D220</f>
        <v>99</v>
      </c>
      <c r="F220" s="28"/>
      <c r="H220" s="86" t="str">
        <f>テーブル2[[#This Row],[Sheet]]&amp;TEXT(ROW()-64,"00")</f>
        <v>暖房156</v>
      </c>
    </row>
  </sheetData>
  <phoneticPr fontId="1"/>
  <conditionalFormatting sqref="D1:D1048576">
    <cfRule type="duplicateValues" dxfId="0" priority="1"/>
  </conditionalFormatting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623CC-B8A1-476B-AF38-E7CC4E0885A4}">
  <sheetPr codeName="Sheet23"/>
  <dimension ref="B2:G13"/>
  <sheetViews>
    <sheetView workbookViewId="0"/>
  </sheetViews>
  <sheetFormatPr defaultRowHeight="16.5" x14ac:dyDescent="0.4"/>
  <cols>
    <col min="1" max="1" width="9" style="1"/>
    <col min="2" max="2" width="11" style="1" bestFit="1" customWidth="1"/>
    <col min="3" max="3" width="10.875" style="1" bestFit="1" customWidth="1"/>
    <col min="4" max="4" width="30.25" style="1" bestFit="1" customWidth="1"/>
    <col min="5" max="16384" width="9" style="1"/>
  </cols>
  <sheetData>
    <row r="2" spans="2:7" x14ac:dyDescent="0.4">
      <c r="B2" s="1" t="s">
        <v>7</v>
      </c>
      <c r="C2" s="1" t="s">
        <v>8</v>
      </c>
      <c r="D2" s="1" t="s">
        <v>9</v>
      </c>
    </row>
    <row r="4" spans="2:7" x14ac:dyDescent="0.4">
      <c r="C4" s="1" t="s">
        <v>21</v>
      </c>
      <c r="F4" s="1" t="s">
        <v>10</v>
      </c>
    </row>
    <row r="5" spans="2:7" x14ac:dyDescent="0.4">
      <c r="C5" s="1" t="s">
        <v>22</v>
      </c>
      <c r="F5" s="1" t="s">
        <v>12</v>
      </c>
    </row>
    <row r="6" spans="2:7" x14ac:dyDescent="0.4">
      <c r="C6" s="1" t="s">
        <v>23</v>
      </c>
      <c r="F6" s="1" t="s">
        <v>11</v>
      </c>
    </row>
    <row r="7" spans="2:7" x14ac:dyDescent="0.4">
      <c r="C7" s="1" t="s">
        <v>24</v>
      </c>
      <c r="F7" s="1" t="s">
        <v>13</v>
      </c>
    </row>
    <row r="8" spans="2:7" x14ac:dyDescent="0.4">
      <c r="C8" s="1" t="s">
        <v>25</v>
      </c>
      <c r="F8" s="1" t="s">
        <v>14</v>
      </c>
      <c r="G8" s="1" t="s">
        <v>15</v>
      </c>
    </row>
    <row r="9" spans="2:7" x14ac:dyDescent="0.4">
      <c r="C9" s="1" t="s">
        <v>26</v>
      </c>
      <c r="F9" s="1" t="s">
        <v>16</v>
      </c>
    </row>
    <row r="10" spans="2:7" x14ac:dyDescent="0.4">
      <c r="C10" s="1" t="s">
        <v>27</v>
      </c>
      <c r="F10" s="1" t="s">
        <v>17</v>
      </c>
    </row>
    <row r="11" spans="2:7" x14ac:dyDescent="0.4">
      <c r="C11" s="1" t="s">
        <v>28</v>
      </c>
      <c r="F11" s="1" t="s">
        <v>18</v>
      </c>
    </row>
    <row r="12" spans="2:7" x14ac:dyDescent="0.4">
      <c r="C12" s="1" t="s">
        <v>29</v>
      </c>
      <c r="F12" s="1" t="s">
        <v>20</v>
      </c>
    </row>
    <row r="13" spans="2:7" x14ac:dyDescent="0.4">
      <c r="C13" s="1" t="s">
        <v>30</v>
      </c>
      <c r="F13" s="1" t="s">
        <v>19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593E-2613-4945-8FBA-FA3FBAD0B2C2}">
  <sheetPr codeName="Sheet12"/>
  <dimension ref="B2:G12"/>
  <sheetViews>
    <sheetView workbookViewId="0">
      <selection activeCell="D12" sqref="D12"/>
    </sheetView>
  </sheetViews>
  <sheetFormatPr defaultRowHeight="18.75" x14ac:dyDescent="0.4"/>
  <sheetData>
    <row r="2" spans="2:7" x14ac:dyDescent="0.4">
      <c r="B2" t="s">
        <v>160</v>
      </c>
    </row>
    <row r="3" spans="2:7" x14ac:dyDescent="0.4">
      <c r="C3" t="s">
        <v>161</v>
      </c>
    </row>
    <row r="4" spans="2:7" x14ac:dyDescent="0.4">
      <c r="D4" t="s">
        <v>162</v>
      </c>
      <c r="G4" t="s">
        <v>165</v>
      </c>
    </row>
    <row r="5" spans="2:7" x14ac:dyDescent="0.4">
      <c r="D5" t="s">
        <v>163</v>
      </c>
    </row>
    <row r="6" spans="2:7" x14ac:dyDescent="0.4">
      <c r="D6" t="s">
        <v>164</v>
      </c>
    </row>
    <row r="8" spans="2:7" x14ac:dyDescent="0.4">
      <c r="B8" t="s">
        <v>166</v>
      </c>
    </row>
    <row r="9" spans="2:7" x14ac:dyDescent="0.4">
      <c r="C9" t="s">
        <v>167</v>
      </c>
    </row>
    <row r="10" spans="2:7" x14ac:dyDescent="0.4">
      <c r="C10" t="s">
        <v>168</v>
      </c>
    </row>
    <row r="12" spans="2:7" x14ac:dyDescent="0.4">
      <c r="D12" t="s">
        <v>203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5368-73DC-4DD2-BCA9-477FE4C5E248}">
  <sheetPr codeName="Sheet1"/>
  <dimension ref="B1:D3"/>
  <sheetViews>
    <sheetView workbookViewId="0">
      <selection activeCell="D4" sqref="D4"/>
    </sheetView>
  </sheetViews>
  <sheetFormatPr defaultRowHeight="18.75" x14ac:dyDescent="0.4"/>
  <cols>
    <col min="1" max="1" width="9" style="30"/>
    <col min="2" max="2" width="9.25" style="29" bestFit="1" customWidth="1"/>
    <col min="3" max="16384" width="9" style="30"/>
  </cols>
  <sheetData>
    <row r="1" spans="2:4" x14ac:dyDescent="0.4">
      <c r="B1" s="29" t="s">
        <v>218</v>
      </c>
      <c r="C1" s="30" t="s">
        <v>219</v>
      </c>
      <c r="D1" s="30" t="s">
        <v>220</v>
      </c>
    </row>
    <row r="2" spans="2:4" x14ac:dyDescent="0.4">
      <c r="B2" s="29">
        <v>46162</v>
      </c>
      <c r="C2" s="30" t="s">
        <v>221</v>
      </c>
      <c r="D2" s="30" t="s">
        <v>222</v>
      </c>
    </row>
    <row r="3" spans="2:4" x14ac:dyDescent="0.4">
      <c r="B3" s="29">
        <v>46162</v>
      </c>
      <c r="C3" s="30" t="s">
        <v>255</v>
      </c>
      <c r="D3" s="30" t="s">
        <v>256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804CC-9D5C-40F5-9551-E19DA31A087E}">
  <sheetPr codeName="Sheet2"/>
  <dimension ref="B1:R3"/>
  <sheetViews>
    <sheetView tabSelected="1" workbookViewId="0"/>
  </sheetViews>
  <sheetFormatPr defaultRowHeight="18.75" x14ac:dyDescent="0.4"/>
  <cols>
    <col min="8" max="18" width="9" style="92"/>
  </cols>
  <sheetData>
    <row r="1" spans="2:18" x14ac:dyDescent="0.4">
      <c r="H1" s="92" t="s">
        <v>226</v>
      </c>
      <c r="I1" s="92" t="s">
        <v>58</v>
      </c>
      <c r="J1" s="92" t="s">
        <v>227</v>
      </c>
      <c r="K1" s="92" t="s">
        <v>228</v>
      </c>
      <c r="L1" s="92" t="s">
        <v>229</v>
      </c>
      <c r="M1" s="92" t="s">
        <v>230</v>
      </c>
      <c r="N1" s="92" t="s">
        <v>231</v>
      </c>
      <c r="O1" s="92" t="s">
        <v>232</v>
      </c>
      <c r="P1" s="92" t="s">
        <v>233</v>
      </c>
      <c r="Q1" s="92" t="s">
        <v>234</v>
      </c>
      <c r="R1" s="92" t="s">
        <v>235</v>
      </c>
    </row>
    <row r="2" spans="2:18" x14ac:dyDescent="0.4">
      <c r="B2" t="s">
        <v>224</v>
      </c>
      <c r="C2" t="s">
        <v>236</v>
      </c>
      <c r="H2" s="92">
        <v>46162</v>
      </c>
      <c r="I2" s="92">
        <v>46163</v>
      </c>
      <c r="J2" s="92">
        <v>46163</v>
      </c>
      <c r="K2" s="92">
        <v>46164</v>
      </c>
      <c r="L2" s="92">
        <v>46164</v>
      </c>
      <c r="M2" s="92">
        <v>46164</v>
      </c>
      <c r="N2" s="92">
        <v>46164</v>
      </c>
      <c r="O2" s="92">
        <v>46164</v>
      </c>
      <c r="P2" s="92">
        <v>46164</v>
      </c>
      <c r="Q2" s="92">
        <v>46164</v>
      </c>
      <c r="R2" s="92">
        <v>46164</v>
      </c>
    </row>
    <row r="3" spans="2:18" x14ac:dyDescent="0.4">
      <c r="D3" t="s">
        <v>225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158</vt:i4>
      </vt:variant>
    </vt:vector>
  </HeadingPairs>
  <TitlesOfParts>
    <vt:vector size="175" baseType="lpstr">
      <vt:lpstr>01_基本情報</vt:lpstr>
      <vt:lpstr>02_外皮</vt:lpstr>
      <vt:lpstr>03_暖房</vt:lpstr>
      <vt:lpstr>04_冷房</vt:lpstr>
      <vt:lpstr>05_換気</vt:lpstr>
      <vt:lpstr>06_熱交換</vt:lpstr>
      <vt:lpstr>07_給湯</vt:lpstr>
      <vt:lpstr>08_照明</vt:lpstr>
      <vt:lpstr>09_太陽光</vt:lpstr>
      <vt:lpstr>10_太陽熱</vt:lpstr>
      <vt:lpstr>11_コージェネ</vt:lpstr>
      <vt:lpstr>option-elements</vt:lpstr>
      <vt:lpstr>Rules</vt:lpstr>
      <vt:lpstr>用語</vt:lpstr>
      <vt:lpstr>予備</vt:lpstr>
      <vt:lpstr>忘備録</vt:lpstr>
      <vt:lpstr>工程計画</vt:lpstr>
      <vt:lpstr>外皮_外気が経由する床下の面積の割合</vt:lpstr>
      <vt:lpstr>外皮_外皮性能の評価方法</vt:lpstr>
      <vt:lpstr>外皮_外皮平均熱貫流率</vt:lpstr>
      <vt:lpstr>外皮_外皮面積の合計</vt:lpstr>
      <vt:lpstr>外皮_床下空間の断熱</vt:lpstr>
      <vt:lpstr>外皮_床下空間を経由して外気を導入する換気方式の利用</vt:lpstr>
      <vt:lpstr>外皮_暖房期の平均日射熱取得率</vt:lpstr>
      <vt:lpstr>外皮_蓄熱の利用</vt:lpstr>
      <vt:lpstr>外皮_通風の利用_その他の居室</vt:lpstr>
      <vt:lpstr>外皮_通風の利用_主たる居室</vt:lpstr>
      <vt:lpstr>外皮_冷房期の平均日射熱取得率</vt:lpstr>
      <vt:lpstr>外皮01</vt:lpstr>
      <vt:lpstr>外皮02</vt:lpstr>
      <vt:lpstr>外皮03</vt:lpstr>
      <vt:lpstr>外皮04</vt:lpstr>
      <vt:lpstr>外皮05</vt:lpstr>
      <vt:lpstr>外皮06</vt:lpstr>
      <vt:lpstr>外皮07</vt:lpstr>
      <vt:lpstr>外皮08</vt:lpstr>
      <vt:lpstr>外皮09</vt:lpstr>
      <vt:lpstr>外皮10</vt:lpstr>
      <vt:lpstr>外皮11</vt:lpstr>
      <vt:lpstr>基本_その他の居室の有無</vt:lpstr>
      <vt:lpstr>基本_居室の構成</vt:lpstr>
      <vt:lpstr>基本_住戸の評価方法</vt:lpstr>
      <vt:lpstr>基本_住宅タイプの名称</vt:lpstr>
      <vt:lpstr>基本_住宅の建て方</vt:lpstr>
      <vt:lpstr>基本_床面積</vt:lpstr>
      <vt:lpstr>基本_地域の区分</vt:lpstr>
      <vt:lpstr>基本_入力責任者</vt:lpstr>
      <vt:lpstr>基本_年間の日射地域区分</vt:lpstr>
      <vt:lpstr>基本_年間の日射地域区分の指定</vt:lpstr>
      <vt:lpstr>基本_非居室の有無</vt:lpstr>
      <vt:lpstr>基本01</vt:lpstr>
      <vt:lpstr>基本02</vt:lpstr>
      <vt:lpstr>基本03</vt:lpstr>
      <vt:lpstr>基本04</vt:lpstr>
      <vt:lpstr>基本05</vt:lpstr>
      <vt:lpstr>基本06</vt:lpstr>
      <vt:lpstr>基本07</vt:lpstr>
      <vt:lpstr>基本08</vt:lpstr>
      <vt:lpstr>基本09</vt:lpstr>
      <vt:lpstr>基本10</vt:lpstr>
      <vt:lpstr>基本11</vt:lpstr>
      <vt:lpstr>基本12</vt:lpstr>
      <vt:lpstr>基本13</vt:lpstr>
      <vt:lpstr>暖房_VAV方式</vt:lpstr>
      <vt:lpstr>暖房_エネルギー消費効率の区分_その他の居室</vt:lpstr>
      <vt:lpstr>暖房_エネルギー消費効率の区分_主たる居室</vt:lpstr>
      <vt:lpstr>暖房_エネルギー消費効率の入力</vt:lpstr>
      <vt:lpstr>暖房_エネルギー消費効率の入力_その他の居室</vt:lpstr>
      <vt:lpstr>暖房_エネルギー消費効率の入力_主たる居室</vt:lpstr>
      <vt:lpstr>暖房_その他の温水暖房機の名称</vt:lpstr>
      <vt:lpstr>暖房_その他の暖房設備機器の名称_その他の居室</vt:lpstr>
      <vt:lpstr>暖房_その他の暖房設備機器の名称_主たる居室</vt:lpstr>
      <vt:lpstr>暖房_ダクトが通過する空間</vt:lpstr>
      <vt:lpstr>暖房_温水暖房機の種類</vt:lpstr>
      <vt:lpstr>暖房_仮想床の床面積を除いた敷設率_主たる居室</vt:lpstr>
      <vt:lpstr>暖房_仮想床の床面積を除いた敷設率の入力_主たる居室</vt:lpstr>
      <vt:lpstr>暖房_機器の仕様の入力</vt:lpstr>
      <vt:lpstr>暖房_小能力時高効率型コンプレッサー_その他の居室</vt:lpstr>
      <vt:lpstr>暖房_小能力時高効率型コンプレッサー_主たる居室</vt:lpstr>
      <vt:lpstr>暖房_上面放熱率_床の断熱_その他の居室</vt:lpstr>
      <vt:lpstr>暖房_上面放熱率_床の断熱_主たる居室</vt:lpstr>
      <vt:lpstr>暖房_設計風量</vt:lpstr>
      <vt:lpstr>暖房_設計風量の入力</vt:lpstr>
      <vt:lpstr>暖房_全般換気機能</vt:lpstr>
      <vt:lpstr>暖房_断熱配管</vt:lpstr>
      <vt:lpstr>暖房_断熱配管_その他の居室</vt:lpstr>
      <vt:lpstr>暖房_断熱配管_主たる居室</vt:lpstr>
      <vt:lpstr>暖房_暖房設備機器の種類</vt:lpstr>
      <vt:lpstr>暖房_暖房設備機器または放熱器の種類_その他の居室</vt:lpstr>
      <vt:lpstr>暖房_暖房設備機器または放熱器の種類_主たる居室</vt:lpstr>
      <vt:lpstr>暖房_暖房方式</vt:lpstr>
      <vt:lpstr>暖房_中間暖房能力試験_室内側送風機の消費電力</vt:lpstr>
      <vt:lpstr>暖房_中間暖房能力試験_消費電力</vt:lpstr>
      <vt:lpstr>暖房_中間暖房能力試験_能力</vt:lpstr>
      <vt:lpstr>暖房_中間暖房能力試験_風量</vt:lpstr>
      <vt:lpstr>暖房_低出力モード_その他の居室</vt:lpstr>
      <vt:lpstr>暖房_低出力モード_主たる居室</vt:lpstr>
      <vt:lpstr>暖房_定格暖房能力試験_室内側送風機の消費電力</vt:lpstr>
      <vt:lpstr>暖房_定格暖房能力試験_消費電力</vt:lpstr>
      <vt:lpstr>暖房_定格暖房能力試験_能力</vt:lpstr>
      <vt:lpstr>暖房_定格暖房能力試験_風量</vt:lpstr>
      <vt:lpstr>暖房_定格能力におけるエネルギー消費効率</vt:lpstr>
      <vt:lpstr>暖房_定格能力におけるエネルギー消費効率_その他の居室</vt:lpstr>
      <vt:lpstr>暖房_定格能力におけるエネルギー消費効率_主たる居室</vt:lpstr>
      <vt:lpstr>暖房_定常時消費電力_その他の居室</vt:lpstr>
      <vt:lpstr>暖房_定常時消費電力_主たる居室</vt:lpstr>
      <vt:lpstr>暖房_点火時消費電力量_その他の居室</vt:lpstr>
      <vt:lpstr>暖房_点火時消費電力量_主たる居室</vt:lpstr>
      <vt:lpstr>暖房_熱交換器タイプ</vt:lpstr>
      <vt:lpstr>暖房_熱交換器タイプの入力</vt:lpstr>
      <vt:lpstr>暖房_熱効率_その他の居室</vt:lpstr>
      <vt:lpstr>暖房_熱効率_主たる居室</vt:lpstr>
      <vt:lpstr>暖房_熱出力_その他の居室</vt:lpstr>
      <vt:lpstr>暖房_熱出力_主たる居室</vt:lpstr>
      <vt:lpstr>暖房_配管が通過する空間</vt:lpstr>
      <vt:lpstr>暖房_敷設率_その他の居室</vt:lpstr>
      <vt:lpstr>暖房_敷設率_主たる居室</vt:lpstr>
      <vt:lpstr>暖房_敷設率の入力_その他の居室</vt:lpstr>
      <vt:lpstr>暖房_敷設率の入力_主たる居室</vt:lpstr>
      <vt:lpstr>暖房01</vt:lpstr>
      <vt:lpstr>暖房02</vt:lpstr>
      <vt:lpstr>暖房03</vt:lpstr>
      <vt:lpstr>暖房04</vt:lpstr>
      <vt:lpstr>暖房05</vt:lpstr>
      <vt:lpstr>暖房06</vt:lpstr>
      <vt:lpstr>暖房07</vt:lpstr>
      <vt:lpstr>暖房08</vt:lpstr>
      <vt:lpstr>暖房09</vt:lpstr>
      <vt:lpstr>暖房10</vt:lpstr>
      <vt:lpstr>暖房11</vt:lpstr>
      <vt:lpstr>暖房12</vt:lpstr>
      <vt:lpstr>暖房13</vt:lpstr>
      <vt:lpstr>暖房14</vt:lpstr>
      <vt:lpstr>暖房15</vt:lpstr>
      <vt:lpstr>暖房16</vt:lpstr>
      <vt:lpstr>暖房17</vt:lpstr>
      <vt:lpstr>暖房18</vt:lpstr>
      <vt:lpstr>暖房19</vt:lpstr>
      <vt:lpstr>暖房20</vt:lpstr>
      <vt:lpstr>暖房21</vt:lpstr>
      <vt:lpstr>暖房22</vt:lpstr>
      <vt:lpstr>暖房23</vt:lpstr>
      <vt:lpstr>暖房24</vt:lpstr>
      <vt:lpstr>暖房25</vt:lpstr>
      <vt:lpstr>暖房26</vt:lpstr>
      <vt:lpstr>暖房27</vt:lpstr>
      <vt:lpstr>暖房28</vt:lpstr>
      <vt:lpstr>暖房29</vt:lpstr>
      <vt:lpstr>暖房30</vt:lpstr>
      <vt:lpstr>暖房31</vt:lpstr>
      <vt:lpstr>暖房32</vt:lpstr>
      <vt:lpstr>暖房33</vt:lpstr>
      <vt:lpstr>暖房34</vt:lpstr>
      <vt:lpstr>暖房35</vt:lpstr>
      <vt:lpstr>暖房36</vt:lpstr>
      <vt:lpstr>暖房37</vt:lpstr>
      <vt:lpstr>暖房38</vt:lpstr>
      <vt:lpstr>暖房39</vt:lpstr>
      <vt:lpstr>暖房40</vt:lpstr>
      <vt:lpstr>暖房41</vt:lpstr>
      <vt:lpstr>暖房42</vt:lpstr>
      <vt:lpstr>暖房43</vt:lpstr>
      <vt:lpstr>暖房44</vt:lpstr>
      <vt:lpstr>暖房45</vt:lpstr>
      <vt:lpstr>暖房46</vt:lpstr>
      <vt:lpstr>暖房47</vt:lpstr>
      <vt:lpstr>暖房48</vt:lpstr>
      <vt:lpstr>暖房49</vt:lpstr>
      <vt:lpstr>暖房50</vt:lpstr>
      <vt:lpstr>暖房51</vt:lpstr>
      <vt:lpstr>暖房52</vt:lpstr>
      <vt:lpstr>暖房53</vt:lpstr>
      <vt:lpstr>暖房54</vt:lpstr>
      <vt:lpstr>暖房55</vt:lpstr>
      <vt:lpstr>暖房56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YAMADA KOUICHI/山田 幸一(ＭＥＥ/和事/DS・マニュアル制作2G)</dc:creator>
  <cp:lastModifiedBy>YAMADA KOUICHI/山田 幸一(ＭＥＥ/和事/DS・マニュアル制作2G)</cp:lastModifiedBy>
  <dcterms:created xsi:type="dcterms:W3CDTF">2025-10-07T00:11:15Z</dcterms:created>
  <dcterms:modified xsi:type="dcterms:W3CDTF">2026-05-21T09:13:25Z</dcterms:modified>
</cp:coreProperties>
</file>
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42_★電住家\29_住宅省エネ効果試算ツール\"/>
    </mc:Choice>
  </mc:AlternateContent>
  <xr:revisionPtr revIDLastSave="0" documentId="13_ncr:1_{D494E896-7BF2-478B-B3C2-E4C3F70FB8BB}" xr6:coauthVersionLast="47" xr6:coauthVersionMax="47" xr10:uidLastSave="{00000000-0000-0000-0000-000000000000}"/>
  <bookViews>
    <workbookView xWindow="11025" yWindow="1980" windowWidth="45000" windowHeight="12990" tabRatio="796" firstSheet="7" activeTab="13" xr2:uid="{3DCA9ED3-69BE-4E71-8768-1D3C7F790A1B}"/>
  </bookViews>
  <sheets>
    <sheet name="操作" sheetId="2" r:id="rId1"/>
    <sheet name="1.基本情報" sheetId="4" r:id="rId2"/>
    <sheet name="2.外皮" sheetId="7" r:id="rId3"/>
    <sheet name="3.暖房" sheetId="8" r:id="rId4"/>
    <sheet name="4.冷房" sheetId="9" r:id="rId5"/>
    <sheet name="5.換気" sheetId="10" r:id="rId6"/>
    <sheet name="6.熱交換" sheetId="16" r:id="rId7"/>
    <sheet name="7.給湯" sheetId="17" r:id="rId8"/>
    <sheet name="8.照明" sheetId="18" r:id="rId9"/>
    <sheet name="9.太陽光" sheetId="19" r:id="rId10"/>
    <sheet name="10.太陽熱" sheetId="20" r:id="rId11"/>
    <sheet name="11.コージェネ" sheetId="21" r:id="rId12"/>
    <sheet name="option-elements" sheetId="6" r:id="rId13"/>
    <sheet name="Rules" sheetId="12" r:id="rId14"/>
    <sheet name="用語" sheetId="3" r:id="rId15"/>
    <sheet name="予備" sheetId="15" r:id="rId16"/>
  </sheets>
  <definedNames>
    <definedName name="trg_床面積_その他の居室">'1.基本情報'!$C$8</definedName>
    <definedName name="trg_床面積_合計">'1.基本情報'!$C$9</definedName>
    <definedName name="trg_床面積_主たる居室">'1.基本情報'!$C$7</definedName>
    <definedName name="trg_地域の区分">'1.基本情報'!$C$10</definedName>
    <definedName name="trg_年間の日射地域区分">'1.基本情報'!$C$12</definedName>
    <definedName name="trg_年間の日射地域区分の指定">'1.基本情報'!$C$11</definedName>
    <definedName name="基本01_住宅タイプの名称">'option-elements'!$D$2</definedName>
    <definedName name="基本02_入力責任者">'option-elements'!$D$3</definedName>
    <definedName name="基本03_住宅の建て方">'option-elements'!$D$4:$D$5</definedName>
    <definedName name="基本04_住戸の評価方法">'option-elements'!$D$6:$D$7</definedName>
    <definedName name="基本05_居室の構成">'option-elements'!$D$8:$D$9</definedName>
    <definedName name="基本06_床面積">'option-elements'!$D$10:$D$12</definedName>
    <definedName name="基本07_地域の区分">'option-elements'!$D$13:$D$20</definedName>
    <definedName name="基本08_年間の日射地域区分の指定">'option-elements'!$D$21:$D$22</definedName>
    <definedName name="基本09_年間の日射地域区分">'option-elements'!$D$23:$D$27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2" l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" i="12"/>
  <c r="E3" i="12"/>
  <c r="E4" i="12"/>
  <c r="E5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" i="12"/>
  <c r="A23" i="12"/>
  <c r="A24" i="12"/>
  <c r="A25" i="12"/>
  <c r="A26" i="12"/>
  <c r="A27" i="12"/>
  <c r="A14" i="12"/>
  <c r="A15" i="12"/>
  <c r="A16" i="12"/>
  <c r="A17" i="12"/>
  <c r="A18" i="12"/>
  <c r="A19" i="12"/>
  <c r="A20" i="12"/>
  <c r="A21" i="12"/>
  <c r="A22" i="12"/>
  <c r="A9" i="12"/>
  <c r="A10" i="12"/>
  <c r="A7" i="12"/>
  <c r="A5" i="12"/>
  <c r="A3" i="12"/>
  <c r="A4" i="12"/>
  <c r="A6" i="12"/>
  <c r="A8" i="12"/>
  <c r="A11" i="12"/>
  <c r="A12" i="12"/>
  <c r="A13" i="12"/>
  <c r="A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4551C9-B773-4B30-94DE-EBBF696A7501}" name="resume" type="4" refreshedVersion="0" background="1">
    <webPr xml="1" sourceData="1" url="C:\Users\UQ94339\Downloads\resume.xml" htmlTables="1" htmlFormat="all"/>
  </connection>
</connections>
</file>

<file path=xl/sharedStrings.xml><?xml version="1.0" encoding="utf-8"?>
<sst xmlns="http://schemas.openxmlformats.org/spreadsheetml/2006/main" count="444" uniqueCount="249">
  <si>
    <t>住宅タイプの名称</t>
  </si>
  <si>
    <t>入力責任者</t>
  </si>
  <si>
    <t>住戸の評価方法</t>
  </si>
  <si>
    <t>○○○○邸</t>
  </si>
  <si>
    <t>住戸全体を対象に評価する</t>
  </si>
  <si>
    <t>増改築部分を対象に評価する</t>
  </si>
  <si>
    <t>戸建住宅</t>
    <phoneticPr fontId="1"/>
  </si>
  <si>
    <t>基本</t>
    <rPh sb="0" eb="2">
      <t>キホン</t>
    </rPh>
    <phoneticPr fontId="1"/>
  </si>
  <si>
    <t>XMLからExcelシートを作成する</t>
    <rPh sb="14" eb="16">
      <t>サクセイ</t>
    </rPh>
    <phoneticPr fontId="1"/>
  </si>
  <si>
    <t>ルート要素</t>
    <rPh sb="3" eb="5">
      <t>ヨウソ</t>
    </rPh>
    <phoneticPr fontId="1"/>
  </si>
  <si>
    <t>House要素</t>
    <rPh sb="5" eb="7">
      <t>ヨウソ</t>
    </rPh>
    <phoneticPr fontId="1"/>
  </si>
  <si>
    <t>1つのXML文書には1つだけ存在</t>
    <rPh sb="14" eb="16">
      <t>ソンザイ</t>
    </rPh>
    <phoneticPr fontId="1"/>
  </si>
  <si>
    <t>基本情報</t>
  </si>
  <si>
    <t>外皮</t>
  </si>
  <si>
    <t>暖房</t>
  </si>
  <si>
    <t>冷房</t>
  </si>
  <si>
    <t>換気</t>
  </si>
  <si>
    <t>熱交換</t>
  </si>
  <si>
    <t>給湯</t>
  </si>
  <si>
    <t>照明</t>
  </si>
  <si>
    <t>太陽光</t>
  </si>
  <si>
    <t>太陽熱</t>
  </si>
  <si>
    <t>コージェネ</t>
  </si>
  <si>
    <r>
      <t>環境を表す</t>
    </r>
    <r>
      <rPr>
        <sz val="11"/>
        <color rgb="FFFF0000"/>
        <rFont val="Yu Gothic UI"/>
        <family val="3"/>
        <charset val="128"/>
      </rPr>
      <t>Environment</t>
    </r>
    <r>
      <rPr>
        <sz val="11"/>
        <color theme="1"/>
        <rFont val="Yu Gothic UI"/>
        <family val="3"/>
        <charset val="128"/>
      </rPr>
      <t>要素</t>
    </r>
    <phoneticPr fontId="1"/>
  </si>
  <si>
    <r>
      <t>暖冷房</t>
    </r>
    <r>
      <rPr>
        <sz val="11"/>
        <color rgb="FFFF0000"/>
        <rFont val="Yu Gothic UI"/>
        <family val="3"/>
        <charset val="128"/>
      </rPr>
      <t>区画</t>
    </r>
    <r>
      <rPr>
        <sz val="11"/>
        <color theme="1"/>
        <rFont val="Yu Gothic UI"/>
        <family val="3"/>
        <charset val="128"/>
      </rPr>
      <t>を表す</t>
    </r>
    <r>
      <rPr>
        <sz val="11"/>
        <color rgb="FFFF0000"/>
        <rFont val="Yu Gothic UI"/>
        <family val="3"/>
        <charset val="128"/>
      </rPr>
      <t>Zones/Zone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</si>
  <si>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外皮を表す</t>
    </r>
    <r>
      <rPr>
        <sz val="11"/>
        <color rgb="FFFF0000"/>
        <rFont val="Yu Gothic UI"/>
        <family val="3"/>
        <charset val="128"/>
      </rPr>
      <t>Envelope</t>
    </r>
    <r>
      <rPr>
        <sz val="11"/>
        <color theme="1"/>
        <rFont val="Yu Gothic UI"/>
        <family val="3"/>
        <charset val="128"/>
      </rPr>
      <t>要素、暖房設備を表す</t>
    </r>
    <r>
      <rPr>
        <sz val="11"/>
        <color rgb="FFFF0000"/>
        <rFont val="Yu Gothic UI"/>
        <family val="3"/>
        <charset val="128"/>
      </rPr>
      <t>Heating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</si>
  <si>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冷房設備を表す</t>
    </r>
    <r>
      <rPr>
        <sz val="11"/>
        <color rgb="FFFF0000"/>
        <rFont val="Yu Gothic UI"/>
        <family val="3"/>
        <charset val="128"/>
      </rPr>
      <t>Cooling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</si>
  <si>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換気設備を表す</t>
    </r>
    <r>
      <rPr>
        <sz val="11"/>
        <color rgb="FFFF0000"/>
        <rFont val="Yu Gothic UI"/>
        <family val="3"/>
        <charset val="128"/>
      </rPr>
      <t>Ventilation</t>
    </r>
    <r>
      <rPr>
        <sz val="11"/>
        <color theme="1"/>
        <rFont val="Yu Gothic UI"/>
        <family val="3"/>
        <charset val="128"/>
      </rPr>
      <t>要素</t>
    </r>
    <phoneticPr fontId="1"/>
  </si>
  <si>
    <r>
      <t>給湯設備を表す</t>
    </r>
    <r>
      <rPr>
        <sz val="11"/>
        <color rgb="FFFF0000"/>
        <rFont val="Yu Gothic UI"/>
        <family val="3"/>
        <charset val="128"/>
      </rPr>
      <t>Hotwater</t>
    </r>
    <r>
      <rPr>
        <sz val="11"/>
        <color theme="1"/>
        <rFont val="Yu Gothic UI"/>
        <family val="3"/>
        <charset val="128"/>
      </rPr>
      <t>要素</t>
    </r>
    <phoneticPr fontId="1"/>
  </si>
  <si>
    <r>
      <t>照明設備を表す</t>
    </r>
    <r>
      <rPr>
        <sz val="11"/>
        <color rgb="FFFF0000"/>
        <rFont val="Yu Gothic UI"/>
        <family val="3"/>
        <charset val="128"/>
      </rPr>
      <t>Lighting/LightingZone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</si>
  <si>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太陽光発電設備を表す</t>
    </r>
    <r>
      <rPr>
        <sz val="11"/>
        <color rgb="FFFF0000"/>
        <rFont val="Yu Gothic UI"/>
        <family val="3"/>
        <charset val="128"/>
      </rPr>
      <t>Photovoltaic</t>
    </r>
    <r>
      <rPr>
        <sz val="11"/>
        <color theme="1"/>
        <rFont val="Yu Gothic UI"/>
        <family val="3"/>
        <charset val="128"/>
      </rPr>
      <t>要素</t>
    </r>
    <phoneticPr fontId="1"/>
  </si>
  <si>
    <r>
      <t>コージェネレーション設備を表す</t>
    </r>
    <r>
      <rPr>
        <sz val="11"/>
        <color rgb="FFFF0000"/>
        <rFont val="Yu Gothic UI"/>
        <family val="3"/>
        <charset val="128"/>
      </rPr>
      <t>CogenerationUnit</t>
    </r>
    <r>
      <rPr>
        <sz val="11"/>
        <color theme="1"/>
        <rFont val="Yu Gothic UI"/>
        <family val="3"/>
        <charset val="128"/>
      </rPr>
      <t>要素</t>
    </r>
    <phoneticPr fontId="1"/>
  </si>
  <si>
    <r>
      <t>空気集熱式太陽熱利用設備を表す</t>
    </r>
    <r>
      <rPr>
        <sz val="11"/>
        <color rgb="FFFF0000"/>
        <rFont val="Yu Gothic UI"/>
        <family val="3"/>
        <charset val="128"/>
      </rPr>
      <t>AirBasedSolarSystem</t>
    </r>
    <r>
      <rPr>
        <sz val="11"/>
        <color theme="1"/>
        <rFont val="Yu Gothic UI"/>
        <family val="3"/>
        <charset val="128"/>
      </rPr>
      <t>要素</t>
    </r>
    <phoneticPr fontId="1"/>
  </si>
  <si>
    <t>居室の構成</t>
  </si>
  <si>
    <t>地域の区分</t>
  </si>
  <si>
    <t>年間の日射地域区分の指定</t>
  </si>
  <si>
    <t>年間の日射地域区分</t>
  </si>
  <si>
    <t>三菱太郎</t>
    <rPh sb="0" eb="2">
      <t>ミツビシ</t>
    </rPh>
    <rPh sb="2" eb="4">
      <t>タロウ</t>
    </rPh>
    <phoneticPr fontId="1"/>
  </si>
  <si>
    <t>主たる居室とその他の居室、非居室で構成される</t>
  </si>
  <si>
    <t>上記以外の構成</t>
  </si>
  <si>
    <t>主たる居室</t>
  </si>
  <si>
    <t>その他の居室</t>
  </si>
  <si>
    <t>合計</t>
  </si>
  <si>
    <t>1地域</t>
  </si>
  <si>
    <t>2地域</t>
  </si>
  <si>
    <t>3地域</t>
  </si>
  <si>
    <t>4地域</t>
  </si>
  <si>
    <t>5地域</t>
  </si>
  <si>
    <t>6地域</t>
  </si>
  <si>
    <t>7地域</t>
  </si>
  <si>
    <t>8地域</t>
  </si>
  <si>
    <t>指定しない</t>
  </si>
  <si>
    <t>A1区分（年間の日射量が特に少ない地域）</t>
  </si>
  <si>
    <t>A2区分（年間の日射量が少ない地域）</t>
  </si>
  <si>
    <t>A3区分（年間の日射量が中程度の地域）</t>
  </si>
  <si>
    <t>A4区分（年間の日射量が多い地域）</t>
  </si>
  <si>
    <t>A5区分（年間の日射量が特に多い地域）</t>
  </si>
  <si>
    <t>指定する</t>
    <phoneticPr fontId="1"/>
  </si>
  <si>
    <t>タブは11個</t>
    <rPh sb="5" eb="6">
      <t>コ</t>
    </rPh>
    <phoneticPr fontId="1"/>
  </si>
  <si>
    <t>1日3個で4日間</t>
    <rPh sb="1" eb="2">
      <t>ニチ</t>
    </rPh>
    <rPh sb="3" eb="4">
      <t>コ</t>
    </rPh>
    <rPh sb="6" eb="7">
      <t>ヒ</t>
    </rPh>
    <rPh sb="7" eb="8">
      <t>アイダ</t>
    </rPh>
    <phoneticPr fontId="1"/>
  </si>
  <si>
    <t>住宅の建て方</t>
    <phoneticPr fontId="1"/>
  </si>
  <si>
    <t>m2 (小数点以下2桁)</t>
  </si>
  <si>
    <t>外皮</t>
    <rPh sb="0" eb="2">
      <t>ガイヒ</t>
    </rPh>
    <phoneticPr fontId="1"/>
  </si>
  <si>
    <t>外皮性能の評価方法</t>
  </si>
  <si>
    <t>外皮平均熱貫流率（UA）</t>
  </si>
  <si>
    <t>冷房期の平均日射熱取得率（ηAC）</t>
  </si>
  <si>
    <t>暖房期の平均日射熱取得率（ηAH）</t>
  </si>
  <si>
    <t>通風の利用</t>
  </si>
  <si>
    <t>蓄熱の利用</t>
  </si>
  <si>
    <t>床下空間を経由して外気を導入する換気方式の利用</t>
  </si>
  <si>
    <t>当該住戸の外皮面積を用いて外皮性能を評価する</t>
  </si>
  <si>
    <t>仕様基準により外皮性能を評価する</t>
  </si>
  <si>
    <t>誘導仕様基準により外皮性能を評価する（住戸全体を対象に評価）</t>
  </si>
  <si>
    <t>誘導仕様基準により外皮性能を評価する（増改築部分を対象に評価）</t>
  </si>
  <si>
    <t>外皮面積の合計</t>
  </si>
  <si>
    <t>W/m2K (小数点以下2桁)</t>
  </si>
  <si>
    <t>- (小数点以下1桁)</t>
  </si>
  <si>
    <t>評価しない、または利用しない</t>
  </si>
  <si>
    <t>主たる居室－評価しない、または利用しない</t>
    <phoneticPr fontId="1"/>
  </si>
  <si>
    <t>主たる居室－利用する（換気回数5回/h相当以上）</t>
    <phoneticPr fontId="1"/>
  </si>
  <si>
    <t>主たる居室－利用する（換気回数20回/h相当以上）</t>
  </si>
  <si>
    <t>主たる居室－利用する（換気回数20回/h相当以上）</t>
    <phoneticPr fontId="1"/>
  </si>
  <si>
    <t>その他の居室－評価しない、または利用しない</t>
    <phoneticPr fontId="1"/>
  </si>
  <si>
    <t>その他の居室－利用する（換気回数5回/h相当以上）</t>
    <phoneticPr fontId="1"/>
  </si>
  <si>
    <t>その他の居室－利用する（換気回数20回/h相当以上）</t>
    <phoneticPr fontId="1"/>
  </si>
  <si>
    <t>評価しない、または利用しない</t>
    <phoneticPr fontId="1"/>
  </si>
  <si>
    <t>利用する</t>
    <phoneticPr fontId="1"/>
  </si>
  <si>
    <t>通年利用する</t>
  </si>
  <si>
    <t>通年利用する</t>
    <phoneticPr fontId="1"/>
  </si>
  <si>
    <t>外気が経由する床下の面積の割合</t>
  </si>
  <si>
    <t>外気が経由する床下の面積の割合</t>
    <phoneticPr fontId="1"/>
  </si>
  <si>
    <t>% (整数)</t>
  </si>
  <si>
    <t>床下空間の断熱</t>
  </si>
  <si>
    <t>断熱区画外</t>
  </si>
  <si>
    <t>断熱区画内</t>
  </si>
  <si>
    <t>UAValue属性</t>
  </si>
  <si>
    <t>WinterHAValue属性</t>
  </si>
  <si>
    <t>SummerHAValue属性</t>
  </si>
  <si>
    <t>UnderFloorVentilation属性</t>
  </si>
  <si>
    <t>UnderFloorVentilationAreaRate属性</t>
  </si>
  <si>
    <t>UnderFloorInsulation属性</t>
  </si>
  <si>
    <t>通風の利用</t>
    <phoneticPr fontId="1"/>
  </si>
  <si>
    <t>HeatStorage属性</t>
    <phoneticPr fontId="1"/>
  </si>
  <si>
    <t>NaturalWind属性</t>
  </si>
  <si>
    <t>TotalEnvelopeArea属性</t>
    <phoneticPr fontId="1"/>
  </si>
  <si>
    <t>暖房方式</t>
  </si>
  <si>
    <t>居室のみを暖房する</t>
  </si>
  <si>
    <t>住戸全体を暖房する</t>
  </si>
  <si>
    <t>設置しない</t>
  </si>
  <si>
    <t>暖房</t>
    <phoneticPr fontId="1"/>
  </si>
  <si>
    <t>ルームエアコンディショナー</t>
  </si>
  <si>
    <t>FF暖房機</t>
  </si>
  <si>
    <t>電気蓄熱暖房器</t>
  </si>
  <si>
    <t>電気ヒーター床暖房</t>
  </si>
  <si>
    <t>ルームエアコンディショナー付温水床暖房機</t>
  </si>
  <si>
    <t>温水床暖房</t>
  </si>
  <si>
    <t>パネルラジエーター</t>
  </si>
  <si>
    <t>ファンコンベクター</t>
  </si>
  <si>
    <t>ペレットストーブ</t>
  </si>
  <si>
    <t>その他の暖房設備機器</t>
  </si>
  <si>
    <t>基準値の算定において想定される機器（増改築部分を対象に評価する場合の基準設定仕様）</t>
  </si>
  <si>
    <t>暖房設備機器または放熱器を設置しない</t>
  </si>
  <si>
    <t>入力しない（規定値を用いる）</t>
  </si>
  <si>
    <t>入力する</t>
  </si>
  <si>
    <t>上面放熱率（床の断熱）</t>
  </si>
  <si>
    <t>低出力モード</t>
  </si>
  <si>
    <t>評価しない</t>
  </si>
  <si>
    <t>評価する</t>
  </si>
  <si>
    <t>温水暖房機の種類</t>
  </si>
  <si>
    <t>ガス従来型温水暖房機</t>
  </si>
  <si>
    <t>ガス潜熱回収型温水暖房機</t>
  </si>
  <si>
    <t>石油従来型温水暖房機</t>
  </si>
  <si>
    <t>石油潜熱回収型温水暖房機</t>
  </si>
  <si>
    <t>電気ヒートポンプ温水暖房機（フロン系冷媒）</t>
  </si>
  <si>
    <t>電気ヒーター温水暖房機</t>
  </si>
  <si>
    <t>地中熱ヒートポンプ温水暖房機</t>
  </si>
  <si>
    <t>給湯・温水暖房一体型</t>
  </si>
  <si>
    <t>コージェネレーション</t>
  </si>
  <si>
    <t>その他の温水暖房機</t>
  </si>
  <si>
    <t>温水暖房機を設置しない</t>
  </si>
  <si>
    <t>エネルギー消費効率の入力</t>
  </si>
  <si>
    <t>断熱配管</t>
  </si>
  <si>
    <t>評価しない、または採用しない</t>
  </si>
  <si>
    <t>採用する</t>
  </si>
  <si>
    <t>配管が通過する空間</t>
  </si>
  <si>
    <t>評価しない、または全てもしくは一部が断熱区画外である</t>
  </si>
  <si>
    <t>全て断熱区画内である</t>
  </si>
  <si>
    <t>暖房設備機器の種類</t>
  </si>
  <si>
    <t>ダクト式セントラル空調機（ヒートポンプ式熱源）</t>
  </si>
  <si>
    <t>ダクトが通過する空間</t>
  </si>
  <si>
    <t>VAV方式</t>
  </si>
  <si>
    <t>採用しない</t>
  </si>
  <si>
    <t>全般換気機能</t>
  </si>
  <si>
    <t>全般換気機能あり</t>
  </si>
  <si>
    <t>全般換気機能なし</t>
  </si>
  <si>
    <t>機器の仕様の入力</t>
  </si>
  <si>
    <t>定格能力試験の値を入力する</t>
  </si>
  <si>
    <t>定格能力試験と中間能力試験の値を入力する</t>
  </si>
  <si>
    <t>設計風量の入力</t>
  </si>
  <si>
    <t>その他の居室_暖房設備機器または放熱器の種類</t>
    <phoneticPr fontId="1"/>
  </si>
  <si>
    <t>その他の居室_敷設率の入力</t>
    <phoneticPr fontId="1"/>
  </si>
  <si>
    <t>主たる居室_暖房設備機器または放熱器の種類</t>
    <phoneticPr fontId="1"/>
  </si>
  <si>
    <t>主たる居室_敷設率の入力</t>
    <phoneticPr fontId="1"/>
  </si>
  <si>
    <t>主たる居室_低出力モード</t>
    <phoneticPr fontId="1"/>
  </si>
  <si>
    <t>主たる居室_上面放熱率（床の断熱）</t>
    <phoneticPr fontId="1"/>
  </si>
  <si>
    <t>その他の居室_上面放熱率（床の断熱）</t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</si>
  <si>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</si>
  <si>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</si>
  <si>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</si>
  <si>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</si>
  <si>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</si>
  <si>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</si>
  <si>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低出力モード</t>
    </r>
    <phoneticPr fontId="1"/>
  </si>
  <si>
    <t>kW (小数点以下1桁)</t>
  </si>
  <si>
    <t>% (小数点以下1桁)</t>
  </si>
  <si>
    <t>Wh (整数)</t>
  </si>
  <si>
    <t>W (整数)</t>
  </si>
  <si>
    <t>主たる居室_エネルギー消費効率の入力</t>
    <phoneticPr fontId="1"/>
  </si>
  <si>
    <t>主たる居室_断熱配管</t>
    <phoneticPr fontId="1"/>
  </si>
  <si>
    <t>主たる居室_熱出力</t>
  </si>
  <si>
    <t>主たる居室_熱効率</t>
  </si>
  <si>
    <t>主たる居室_点火時消費電力量</t>
  </si>
  <si>
    <t>主たる居室_定常時消費電力</t>
  </si>
  <si>
    <t>主たる居室_その他の暖房設備機器の名称</t>
  </si>
  <si>
    <t>テキスト入力</t>
    <rPh sb="4" eb="6">
      <t>ニュウリョク</t>
    </rPh>
    <phoneticPr fontId="1"/>
  </si>
  <si>
    <t>定格能力におけるエネルギー消費効率</t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</si>
  <si>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エネルギー消費効率の入力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</si>
  <si>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断熱配管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</si>
  <si>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熱出力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</si>
  <si>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熱効率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</si>
  <si>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点火時消費電力量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</si>
  <si>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定常時消費電力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</si>
  <si>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その他の暖房設備機器の名称</t>
    </r>
    <phoneticPr fontId="1"/>
  </si>
  <si>
    <t>敷設率</t>
    <phoneticPr fontId="1"/>
  </si>
  <si>
    <t>仮想床の床面積を除いた敷設率の入力</t>
  </si>
  <si>
    <t>入力しない</t>
  </si>
  <si>
    <t>仮想床の床面積を除いた敷設率</t>
    <phoneticPr fontId="1"/>
  </si>
  <si>
    <t>共同住宅</t>
    <phoneticPr fontId="1"/>
  </si>
  <si>
    <t>値</t>
    <rPh sb="0" eb="1">
      <t>アタイ</t>
    </rPh>
    <phoneticPr fontId="1"/>
  </si>
  <si>
    <t>床面積-主たる居室</t>
    <phoneticPr fontId="1"/>
  </si>
  <si>
    <t>床面積-その他の居室</t>
    <phoneticPr fontId="1"/>
  </si>
  <si>
    <t>床面積-合計</t>
    <phoneticPr fontId="1"/>
  </si>
  <si>
    <t>単位など</t>
    <rPh sb="0" eb="2">
      <t>タンイ</t>
    </rPh>
    <phoneticPr fontId="1"/>
  </si>
  <si>
    <t>基本-01</t>
    <rPh sb="0" eb="2">
      <t>キホン</t>
    </rPh>
    <phoneticPr fontId="1"/>
  </si>
  <si>
    <t>基本03_住宅の建て方</t>
  </si>
  <si>
    <t>基本03_住宅の建て方</t>
    <phoneticPr fontId="1"/>
  </si>
  <si>
    <t>基本01_住宅タイプの名称</t>
    <phoneticPr fontId="1"/>
  </si>
  <si>
    <t>基本02_入力責任者</t>
    <phoneticPr fontId="1"/>
  </si>
  <si>
    <t>基本04_住戸の評価方法</t>
  </si>
  <si>
    <t>基本04_住戸の評価方法</t>
    <phoneticPr fontId="1"/>
  </si>
  <si>
    <t>基本05_居室の構成</t>
  </si>
  <si>
    <t>基本05_居室の構成</t>
    <phoneticPr fontId="1"/>
  </si>
  <si>
    <t>基本06_床面積</t>
  </si>
  <si>
    <t>基本06_床面積</t>
    <phoneticPr fontId="1"/>
  </si>
  <si>
    <t>基本08_年間の日射地域区分の指定</t>
  </si>
  <si>
    <t>基本08_年間の日射地域区分の指定</t>
    <phoneticPr fontId="1"/>
  </si>
  <si>
    <t>基本09_年間の日射地域区分</t>
  </si>
  <si>
    <t>基本09_年間の日射地域区分</t>
    <phoneticPr fontId="1"/>
  </si>
  <si>
    <t>基本07_地域の区分</t>
  </si>
  <si>
    <t>基本07_地域の区分</t>
    <phoneticPr fontId="1"/>
  </si>
  <si>
    <t>設定項目</t>
    <rPh sb="0" eb="2">
      <t>セッテイ</t>
    </rPh>
    <rPh sb="2" eb="4">
      <t>コウモク</t>
    </rPh>
    <phoneticPr fontId="1"/>
  </si>
  <si>
    <t>Sheet</t>
    <phoneticPr fontId="1"/>
  </si>
  <si>
    <t>TriggerValue</t>
    <phoneticPr fontId="1"/>
  </si>
  <si>
    <t>Action</t>
    <phoneticPr fontId="1"/>
  </si>
  <si>
    <t>GREEN</t>
    <phoneticPr fontId="1"/>
  </si>
  <si>
    <t>戸建住宅</t>
  </si>
  <si>
    <t>No.</t>
    <phoneticPr fontId="1"/>
  </si>
  <si>
    <t>1.基本情報</t>
    <rPh sb="2" eb="4">
      <t>キホン</t>
    </rPh>
    <rPh sb="4" eb="6">
      <t>ジョウホウ</t>
    </rPh>
    <phoneticPr fontId="1"/>
  </si>
  <si>
    <t>TriggerCellName</t>
    <phoneticPr fontId="1"/>
  </si>
  <si>
    <t>TargetCellName</t>
    <phoneticPr fontId="1"/>
  </si>
  <si>
    <t>必要な機能</t>
    <rPh sb="0" eb="2">
      <t>ヒツヨウ</t>
    </rPh>
    <rPh sb="3" eb="5">
      <t>キノウ</t>
    </rPh>
    <phoneticPr fontId="1"/>
  </si>
  <si>
    <t>プルダウンから選択→色変更</t>
    <rPh sb="7" eb="9">
      <t>センタク</t>
    </rPh>
    <rPh sb="10" eb="13">
      <t>イロヘンコウ</t>
    </rPh>
    <phoneticPr fontId="1"/>
  </si>
  <si>
    <t>現在のシート名を取得</t>
    <rPh sb="0" eb="2">
      <t>ゲンザイ</t>
    </rPh>
    <rPh sb="6" eb="7">
      <t>メイ</t>
    </rPh>
    <rPh sb="8" eb="10">
      <t>シュトク</t>
    </rPh>
    <phoneticPr fontId="1"/>
  </si>
  <si>
    <t>選択されたリストを取得</t>
    <rPh sb="0" eb="2">
      <t>センタク</t>
    </rPh>
    <rPh sb="9" eb="11">
      <t>シュトク</t>
    </rPh>
    <phoneticPr fontId="1"/>
  </si>
  <si>
    <t>ターゲットセルを取得</t>
    <rPh sb="8" eb="10">
      <t>シュトク</t>
    </rPh>
    <phoneticPr fontId="1"/>
  </si>
  <si>
    <t>Test = ActiveSheet.Name</t>
    <phoneticPr fontId="1"/>
  </si>
  <si>
    <t>trg_床面積_主たる居室, trg_床面積_その他の居室, trg_床面積_合計,trg_地域の区分, trg_年間の日射地域区分の指定, trg_年間の日射地域区分</t>
    <phoneticPr fontId="1"/>
  </si>
  <si>
    <t>trg_床面積_主たる居室</t>
    <phoneticPr fontId="1"/>
  </si>
  <si>
    <t>trg_床面積_その他の居室</t>
  </si>
  <si>
    <t>TriggerCellAddress</t>
    <phoneticPr fontId="1"/>
  </si>
  <si>
    <t>C2</t>
    <phoneticPr fontId="1"/>
  </si>
  <si>
    <t>C3</t>
  </si>
  <si>
    <t>C4</t>
  </si>
  <si>
    <t>C5</t>
  </si>
  <si>
    <t>C6</t>
  </si>
  <si>
    <t>C7</t>
  </si>
  <si>
    <t>C8</t>
  </si>
  <si>
    <t>C9</t>
  </si>
  <si>
    <t>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</si>
</sst>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\_xd83d_\_xdd3d_\ @"/>
    <numFmt numFmtId="179" formatCode="0_ "/>
    <numFmt numFmtId="180" formatCode="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 UI"/>
      <family val="3"/>
      <charset val="128"/>
    </font>
    <font>
      <sz val="11"/>
      <color rgb="FFFF0000"/>
      <name val="Yu Gothic UI"/>
      <family val="3"/>
      <charset val="128"/>
    </font>
    <font>
      <sz val="10"/>
      <color theme="1"/>
      <name val="游ゴシック"/>
      <family val="2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3" tint="9.9978637043366805E-2"/>
      <name val="游ゴシック"/>
      <family val="3"/>
      <charset val="128"/>
      <scheme val="minor"/>
    </font>
    <font>
      <sz val="11"/>
      <color theme="3" tint="9.9978637043366805E-2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CFFFF"/>
        <bgColor indexed="64"/>
      </patternFill>
    </fill>
  </fills>
  <borders count="38">
    <border>
      <left/>
      <right/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/>
      <right/>
      <top style="thin">
        <color theme="4" tint="0.39991454817346722"/>
      </top>
      <bottom/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 tint="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ck">
        <color theme="3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theme="3" tint="0.499984740745262"/>
      </left>
      <right/>
      <top style="thin">
        <color theme="0" tint="-0.14996795556505021"/>
      </top>
      <bottom style="thick">
        <color theme="3" tint="0.499984740745262"/>
      </bottom>
      <diagonal/>
    </border>
    <border>
      <left/>
      <right/>
      <top style="thin">
        <color theme="0" tint="-0.14996795556505021"/>
      </top>
      <bottom style="thick">
        <color theme="3" tint="0.499984740745262"/>
      </bottom>
      <diagonal/>
    </border>
    <border>
      <left/>
      <right style="thick">
        <color theme="3" tint="0.499984740745262"/>
      </right>
      <top style="thin">
        <color theme="0" tint="-0.14996795556505021"/>
      </top>
      <bottom style="thick">
        <color theme="3" tint="0.499984740745262"/>
      </bottom>
      <diagonal/>
    </border>
    <border>
      <left style="thick">
        <color theme="3" tint="0.49998474074526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ck">
        <color theme="3" tint="0.499984740745262"/>
      </right>
      <top/>
      <bottom style="thin">
        <color theme="0" tint="-0.14996795556505021"/>
      </bottom>
      <diagonal/>
    </border>
    <border>
      <left style="thick">
        <color theme="3" tint="0.499984740745262"/>
      </left>
      <right/>
      <top style="thick">
        <color theme="3" tint="0.499984740745262"/>
      </top>
      <bottom style="medium">
        <color theme="3" tint="0.499984740745262"/>
      </bottom>
      <diagonal/>
    </border>
    <border>
      <left/>
      <right/>
      <top style="thick">
        <color theme="3" tint="0.499984740745262"/>
      </top>
      <bottom style="medium">
        <color theme="3" tint="0.499984740745262"/>
      </bottom>
      <diagonal/>
    </border>
    <border>
      <left/>
      <right style="thick">
        <color theme="3" tint="0.499984740745262"/>
      </right>
      <top style="thick">
        <color theme="3" tint="0.499984740745262"/>
      </top>
      <bottom style="medium">
        <color theme="3" tint="0.499984740745262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6" fillId="2" borderId="7" xfId="0" applyFont="1" applyFill="1" applyBorder="1">
      <alignment vertical="center"/>
    </xf>
    <xf numFmtId="0" fontId="6" fillId="2" borderId="10" xfId="0" applyFont="1" applyFill="1" applyBorder="1">
      <alignment vertical="center"/>
    </xf>
    <xf numFmtId="178" fontId="0" fillId="0" borderId="0" xfId="0" applyNumberFormat="1" applyFill="1">
      <alignment vertical="center"/>
    </xf>
    <xf numFmtId="0" fontId="4" fillId="2" borderId="0" xfId="0" applyFont="1" applyFill="1" applyBorder="1" applyAlignment="1">
      <alignment horizontal="center" vertical="center"/>
    </xf>
    <xf numFmtId="177" fontId="4" fillId="2" borderId="0" xfId="0" applyNumberFormat="1" applyFont="1" applyFill="1" applyBorder="1">
      <alignment vertical="center"/>
    </xf>
    <xf numFmtId="179" fontId="4" fillId="2" borderId="0" xfId="0" applyNumberFormat="1" applyFont="1" applyFill="1" applyBorder="1">
      <alignment vertical="center"/>
    </xf>
    <xf numFmtId="177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17" xfId="0" applyBorder="1">
      <alignment vertical="center"/>
    </xf>
    <xf numFmtId="176" fontId="0" fillId="0" borderId="17" xfId="0" applyNumberFormat="1" applyBorder="1">
      <alignment vertical="center"/>
    </xf>
    <xf numFmtId="177" fontId="0" fillId="0" borderId="17" xfId="0" applyNumberFormat="1" applyBorder="1">
      <alignment vertical="center"/>
    </xf>
    <xf numFmtId="0" fontId="0" fillId="0" borderId="19" xfId="0" applyFill="1" applyBorder="1">
      <alignment vertical="center"/>
    </xf>
    <xf numFmtId="178" fontId="0" fillId="0" borderId="19" xfId="0" applyNumberFormat="1" applyFill="1" applyBorder="1">
      <alignment vertical="center"/>
    </xf>
    <xf numFmtId="178" fontId="0" fillId="0" borderId="22" xfId="0" applyNumberFormat="1" applyFill="1" applyBorder="1">
      <alignment vertical="center"/>
    </xf>
    <xf numFmtId="0" fontId="7" fillId="0" borderId="18" xfId="0" applyFont="1" applyFill="1" applyBorder="1">
      <alignment vertical="center"/>
    </xf>
    <xf numFmtId="0" fontId="7" fillId="0" borderId="21" xfId="0" applyFont="1" applyFill="1" applyBorder="1">
      <alignment vertical="center"/>
    </xf>
    <xf numFmtId="0" fontId="7" fillId="0" borderId="24" xfId="0" applyFont="1" applyFill="1" applyBorder="1">
      <alignment vertical="center"/>
    </xf>
    <xf numFmtId="0" fontId="0" fillId="0" borderId="25" xfId="0" applyFill="1" applyBorder="1">
      <alignment vertical="center"/>
    </xf>
    <xf numFmtId="0" fontId="7" fillId="3" borderId="27" xfId="0" applyFont="1" applyFill="1" applyBorder="1">
      <alignment vertical="center"/>
    </xf>
    <xf numFmtId="0" fontId="7" fillId="3" borderId="28" xfId="0" applyFont="1" applyFill="1" applyBorder="1">
      <alignment vertical="center"/>
    </xf>
    <xf numFmtId="0" fontId="8" fillId="3" borderId="29" xfId="0" applyFont="1" applyFill="1" applyBorder="1">
      <alignment vertical="center"/>
    </xf>
    <xf numFmtId="0" fontId="0" fillId="0" borderId="26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19" xfId="0" applyFill="1" applyBorder="1" applyAlignment="1">
      <alignment horizontal="right" vertical="center" indent="5"/>
    </xf>
    <xf numFmtId="0" fontId="0" fillId="0" borderId="22" xfId="0" applyFill="1" applyBorder="1">
      <alignment vertical="center"/>
    </xf>
    <xf numFmtId="0" fontId="0" fillId="0" borderId="23" xfId="0" applyFill="1" applyBorder="1">
      <alignment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0" xfId="0" applyFont="1" applyFill="1" applyBorder="1">
      <alignment vertical="center"/>
    </xf>
    <xf numFmtId="0" fontId="4" fillId="4" borderId="31" xfId="0" applyFont="1" applyFill="1" applyBorder="1" applyAlignment="1">
      <alignment horizontal="center" vertical="center"/>
    </xf>
    <xf numFmtId="0" fontId="4" fillId="4" borderId="31" xfId="0" applyFont="1" applyFill="1" applyBorder="1">
      <alignment vertical="center"/>
    </xf>
    <xf numFmtId="0" fontId="4" fillId="4" borderId="32" xfId="0" applyFont="1" applyFill="1" applyBorder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>
      <alignment vertical="center"/>
    </xf>
    <xf numFmtId="0" fontId="4" fillId="4" borderId="33" xfId="0" applyFont="1" applyFill="1" applyBorder="1">
      <alignment vertical="center"/>
    </xf>
    <xf numFmtId="0" fontId="4" fillId="4" borderId="34" xfId="0" applyFont="1" applyFill="1" applyBorder="1">
      <alignment vertical="center"/>
    </xf>
    <xf numFmtId="0" fontId="4" fillId="4" borderId="35" xfId="0" applyFont="1" applyFill="1" applyBorder="1">
      <alignment vertical="center"/>
    </xf>
    <xf numFmtId="0" fontId="4" fillId="4" borderId="36" xfId="0" applyFont="1" applyFill="1" applyBorder="1">
      <alignment vertical="center"/>
    </xf>
    <xf numFmtId="0" fontId="4" fillId="4" borderId="37" xfId="0" applyFont="1" applyFill="1" applyBorder="1">
      <alignment vertical="center"/>
    </xf>
    <xf numFmtId="180" fontId="6" fillId="0" borderId="0" xfId="0" applyNumberFormat="1" applyFont="1" applyAlignment="1">
      <alignment horizontal="left" vertical="center"/>
    </xf>
    <xf numFmtId="0" fontId="0" fillId="0" borderId="0" xfId="0" applyFill="1">
      <alignment vertical="center"/>
    </xf>
    <xf numFmtId="180" fontId="6" fillId="0" borderId="0" xfId="0" applyNumberFormat="1" applyFont="1" applyFill="1" applyAlignment="1">
      <alignment horizontal="left" vertical="center"/>
    </xf>
    <xf numFmtId="0" fontId="6" fillId="0" borderId="0" xfId="0" applyFont="1" applyFill="1">
      <alignment vertical="center"/>
    </xf>
    <xf numFmtId="0" fontId="4" fillId="0" borderId="0" xfId="0" applyFont="1" applyFill="1">
      <alignment vertical="center"/>
    </xf>
  </cellXfs>
  <cellStyles count="1">
    <cellStyle name="標準" xfId="0" builtinId="0"/>
  </cellStyles>
  <dxfs count="1">
    <dxf>
      <fill>
        <patternFill>
          <bgColor theme="8" tint="0.79998168889431442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House">
        <xsd:complexType>
          <xsd:sequence minOccurs="0">
            <xsd:element minOccurs="0" nillable="true" name="Environment" form="unqualified">
              <xsd:complexType>
                <xsd:attribute name="Region" form="unqualified" type="xsd:integer"/>
              </xsd:complexType>
            </xsd:element>
            <xsd:element minOccurs="0" nillable="true" name="Zones" form="unqualified">
              <xsd:complexType>
                <xsd:sequence minOccurs="0">
                  <xsd:element minOccurs="0" maxOccurs="unbounded" nillable="true" name="Zone" form="unqualified">
                    <xsd:complexType>
                      <xsd:attribute name="Type" form="unqualified" type="xsd:string"/>
                      <xsd:attribute name="Area" form="unqualified" type="xsd:double"/>
                      <xsd:attribute name="NaturalWind" form="unqualified" type="xsd:integer"/>
                    </xsd:complexType>
                  </xsd:element>
                </xsd:sequence>
              </xsd:complexType>
            </xsd:element>
            <xsd:element minOccurs="0" nillable="true" name="Envelope" form="unqualified">
              <xsd:complexType>
                <xsd:attribute name="HeatStorage" form="unqualified" type="xsd:string"/>
                <xsd:attribute name="EvaluationMethod" form="unqualified" type="xsd:string"/>
                <xsd:attribute name="TotalEnvelopeArea" form="unqualified" type="xsd:double"/>
                <xsd:attribute name="UAValue" form="unqualified" type="xsd:double"/>
                <xsd:attribute name="SummerHAValue" form="unqualified" type="xsd:double"/>
                <xsd:attribute name="WinterHAValue" form="unqualified" type="xsd:double"/>
              </xsd:complexType>
            </xsd:element>
            <xsd:element minOccurs="0" nillable="true" name="Heating" form="unqualified">
              <xsd:complexType>
                <xsd:sequence minOccurs="0">
                  <xsd:element minOccurs="0" maxOccurs="unbounded" nillable="true" name="RoomAirConditioningHeat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Cooling" form="unqualified">
              <xsd:complexType>
                <xsd:sequence minOccurs="0">
                  <xsd:element minOccurs="0" maxOccurs="unbounded" nillable="true" name="RoomAirConditioningCool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Ventilation" form="unqualified">
              <xsd:complexType>
                <xsd:attribute name="Type" form="unqualified" type="xsd:string"/>
                <xsd:attribute name="HeatExchanger" form="unqualified" type="xsd:string"/>
                <xsd:attribute name="Frequency" form="unqualified" type="xsd:string"/>
              </xsd:complexType>
            </xsd:element>
            <xsd:element minOccurs="0" nillable="true" name="Hotwater" form="unqualified">
              <xsd:complexType>
                <xsd:sequence minOccurs="0">
                  <xsd:element minOccurs="0" nillable="true" name="WaterHeater" form="unqualified">
                    <xsd:complexType>
                      <xsd:attribute name="Install" form="unqualified" type="xsd:string"/>
                      <xsd:attribute name="Type" form="unqualified" type="xsd:string"/>
                    </xsd:complexType>
                  </xsd:element>
                  <xsd:element minOccurs="0" nillable="true" name="Bath" form="unqualified">
                    <xsd:complexType>
                      <xsd:attribute name="Function" form="unqualified" type="xsd:string"/>
                      <xsd:attribute name="Insulation" form="unqualified" type="xsd:string"/>
                    </xsd:complexType>
                  </xsd:element>
                  <xsd:element minOccurs="0" nillable="true" name="Pipe" form="unqualified">
                    <xsd:complexType>
                      <xsd:attribute name="Type" form="unqualified" type="xsd:string"/>
                    </xsd:complexType>
                  </xsd:element>
                  <xsd:element minOccurs="0" maxOccurs="unbounded" nillable="true" name="Tap" form="unqualified">
                    <xsd:complexType>
                      <xsd:attribute name="Type" form="unqualified" type="xsd:string"/>
                      <xsd:attribute name="Saving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Lighting" form="unqualified"/>
          </xsd:sequence>
          <xsd:attribute name="ProgramName" form="unqualified" type="xsd:string"/>
          <xsd:attribute name="ProgramVersion" form="unqualified" type="xsd:string"/>
          <xsd:attribute name="Name" form="unqualified" type="xsd:string"/>
          <xsd:attribute name="EvaluationMethod" form="unqualified" type="xsd:string"/>
          <xsd:attribute name="Type" form="unqualified" type="xsd:string"/>
          <xsd:attribute name="TotalArea" form="unqualified" type="xsd:double"/>
          <xsd:attribute name="CreateDate" form="unqualified" type="xsd:string"/>
        </xsd:complexType>
      </xsd:element>
    </xsd:schema>
  </Schema>
  <Map ID="1" Name="House_対応付け" RootElement="House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4086C-37FD-49AD-9042-B566487CC7AD}">
  <sheetPr codeName="Sheet00"/>
  <dimension ref="B2:E3"/>
  <sheetViews>
    <sheetView workbookViewId="0"/>
  </sheetViews>
  <sheetFormatPr defaultRowHeight="18.75" x14ac:dyDescent="0.4"/>
  <sheetData>
    <row r="2" spans="2:5" x14ac:dyDescent="0.4">
      <c r="B2" t="s">
        <v>7</v>
      </c>
      <c r="C2" t="s">
        <v>8</v>
      </c>
    </row>
    <row r="3" spans="2:5" x14ac:dyDescent="0.4">
      <c r="C3" t="s">
        <v>58</v>
      </c>
      <c r="E3" t="s">
        <v>59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6C5C-1ABC-40CF-928D-F158E735D24D}">
  <sheetPr codeName="Sheet01"/>
  <dimension ref="B1:G13"/>
  <sheetViews>
    <sheetView workbookViewId="0"/>
  </sheetViews>
  <sheetFormatPr defaultRowHeight="21.95" customHeight="1" x14ac:dyDescent="0.4"/>
  <cols>
    <col min="2" max="2" width="25.5" bestFit="1" customWidth="1"/>
    <col min="3" max="3" width="46.375" customWidth="1"/>
    <col min="4" max="4" width="19.25" bestFit="1" customWidth="1"/>
  </cols>
  <sheetData>
    <row r="1" spans="2:7" ht="21.95" customHeight="1" thickTop="1" thickBot="1" x14ac:dyDescent="0.45">
      <c r="B1" s="40" t="s">
        <v>220</v>
      </c>
      <c r="C1" s="41" t="s">
        <v>198</v>
      </c>
      <c r="D1" s="41" t="s">
        <v>202</v>
      </c>
      <c r="E1" s="42"/>
    </row>
    <row r="2" spans="2:7" ht="21.95" customHeight="1" x14ac:dyDescent="0.4">
      <c r="B2" s="38" t="s">
        <v>0</v>
      </c>
      <c r="C2" s="39" t="s">
        <v>3</v>
      </c>
      <c r="D2" s="39"/>
      <c r="E2" s="43"/>
    </row>
    <row r="3" spans="2:7" ht="21.95" customHeight="1" x14ac:dyDescent="0.4">
      <c r="B3" s="36" t="s">
        <v>1</v>
      </c>
      <c r="C3" s="33" t="s">
        <v>37</v>
      </c>
      <c r="D3" s="33"/>
      <c r="E3" s="44"/>
    </row>
    <row r="4" spans="2:7" ht="21.95" customHeight="1" x14ac:dyDescent="0.4">
      <c r="B4" s="36" t="s">
        <v>60</v>
      </c>
      <c r="C4" s="34" t="s">
        <v>225</v>
      </c>
      <c r="D4" s="33"/>
      <c r="E4" s="44"/>
    </row>
    <row r="5" spans="2:7" ht="21.95" customHeight="1" x14ac:dyDescent="0.4">
      <c r="B5" s="36" t="s">
        <v>2</v>
      </c>
      <c r="C5" s="34"/>
      <c r="D5" s="33"/>
      <c r="E5" s="44"/>
    </row>
    <row r="6" spans="2:7" ht="21.95" customHeight="1" x14ac:dyDescent="0.4">
      <c r="B6" s="36" t="s">
        <v>33</v>
      </c>
      <c r="C6" s="34"/>
      <c r="D6" s="33"/>
      <c r="E6" s="44"/>
    </row>
    <row r="7" spans="2:7" ht="21.95" customHeight="1" x14ac:dyDescent="0.4">
      <c r="B7" s="36" t="s">
        <v>199</v>
      </c>
      <c r="C7" s="45">
        <v>29.81</v>
      </c>
      <c r="D7" s="33" t="s">
        <v>61</v>
      </c>
      <c r="E7" s="44"/>
      <c r="G7">
        <v>29.81</v>
      </c>
    </row>
    <row r="8" spans="2:7" ht="21.95" customHeight="1" x14ac:dyDescent="0.4">
      <c r="B8" s="36" t="s">
        <v>200</v>
      </c>
      <c r="C8" s="45">
        <v>51.34</v>
      </c>
      <c r="D8" s="33" t="s">
        <v>61</v>
      </c>
      <c r="E8" s="44"/>
      <c r="G8">
        <v>51.34</v>
      </c>
    </row>
    <row r="9" spans="2:7" ht="21.95" customHeight="1" x14ac:dyDescent="0.4">
      <c r="B9" s="36" t="s">
        <v>201</v>
      </c>
      <c r="C9" s="45">
        <v>120.08</v>
      </c>
      <c r="D9" s="33" t="s">
        <v>61</v>
      </c>
      <c r="E9" s="44"/>
      <c r="G9">
        <v>120.08</v>
      </c>
    </row>
    <row r="10" spans="2:7" ht="21.95" customHeight="1" x14ac:dyDescent="0.4">
      <c r="B10" s="36" t="s">
        <v>34</v>
      </c>
      <c r="C10" s="34"/>
      <c r="D10" s="33"/>
      <c r="E10" s="44"/>
    </row>
    <row r="11" spans="2:7" ht="21.95" customHeight="1" x14ac:dyDescent="0.4">
      <c r="B11" s="36" t="s">
        <v>35</v>
      </c>
      <c r="C11" s="34"/>
      <c r="D11" s="33"/>
      <c r="E11" s="44"/>
    </row>
    <row r="12" spans="2:7" ht="21.95" customHeight="1" thickBot="1" x14ac:dyDescent="0.45">
      <c r="B12" s="37" t="s">
        <v>36</v>
      </c>
      <c r="C12" s="35"/>
      <c r="D12" s="46"/>
      <c r="E12" s="47"/>
    </row>
    <row r="13" spans="2:7" ht="21.95" customHeight="1" thickTop="1" x14ac:dyDescent="0.4">
      <c r="C13" s="61"/>
    </row>
  </sheetData>
  <phoneticPr fontId="1"/>
  <conditionalFormatting sqref="C8">
    <cfRule type="expression" dxfId="0" priority="1" stopIfTrue="1">
      <formula>C4="戸建住宅"</formula>
    </cfRule>
  </conditionalFormatting>
  <dataValidations count="8">
    <dataValidation type="list" allowBlank="1" showInputMessage="1" showErrorMessage="1" sqref="C4" xr:uid="{86594C58-136D-4300-A532-A1022FF065B8}">
      <formula1>基本03_住宅の建て方</formula1>
    </dataValidation>
    <dataValidation type="list" allowBlank="1" showInputMessage="1" showErrorMessage="1" sqref="C5" xr:uid="{EB6EB0F4-F4D2-4F12-9311-0AA45B355EF4}">
      <formula1>基本04_住戸の評価方法</formula1>
    </dataValidation>
    <dataValidation type="list" allowBlank="1" showInputMessage="1" showErrorMessage="1" sqref="C6" xr:uid="{508615BF-1197-4AF5-B0EE-9FA10C7EFE91}">
      <formula1>基本05_居室の構成</formula1>
    </dataValidation>
    <dataValidation type="list" allowBlank="1" showInputMessage="1" showErrorMessage="1" sqref="C10" xr:uid="{C47ADF50-C707-45A1-8121-748249B92B57}">
      <formula1>基本07_地域の区分</formula1>
    </dataValidation>
    <dataValidation type="list" allowBlank="1" showInputMessage="1" showErrorMessage="1" sqref="C11" xr:uid="{011F8C2B-CA2B-4399-8533-E1F908B5A6F6}">
      <formula1>基本08_年間の日射地域区分の指定</formula1>
    </dataValidation>
    <dataValidation type="list" allowBlank="1" showInputMessage="1" showErrorMessage="1" sqref="C12" xr:uid="{7FE0CAA1-E428-495A-83E4-095772989D4F}">
      <formula1>基本09_年間の日射地域区分</formula1>
    </dataValidation>
    <dataValidation type="list" allowBlank="1" showInputMessage="1" showErrorMessage="1" sqref="C2" xr:uid="{D39DF7B1-A195-48E3-A3A8-1FAC9ED65A59}">
      <formula1>基本01_住宅タイプの名称</formula1>
    </dataValidation>
    <dataValidation type="list" allowBlank="1" showInputMessage="1" showErrorMessage="1" sqref="C3" xr:uid="{E1E13356-4178-48E8-A846-601614D6BDB6}">
      <formula1>基本02_入力責任者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C2B3-11A0-4F86-B998-EE8B946996B4}">
  <sheetPr codeName="Sheet02"/>
  <dimension ref="B2:E11"/>
  <sheetViews>
    <sheetView workbookViewId="0"/>
  </sheetViews>
  <sheetFormatPr defaultRowHeight="18.75" x14ac:dyDescent="0.4"/>
  <cols>
    <col min="2" max="2" width="48" bestFit="1" customWidth="1"/>
    <col min="3" max="3" width="68.375" bestFit="1" customWidth="1"/>
    <col min="4" max="4" width="23.625" bestFit="1" customWidth="1"/>
    <col min="5" max="5" width="34" bestFit="1" customWidth="1"/>
  </cols>
  <sheetData>
    <row r="2" spans="2:5" x14ac:dyDescent="0.4">
      <c r="B2" t="s">
        <v>63</v>
      </c>
      <c r="C2" s="24" t="s">
        <v>72</v>
      </c>
    </row>
    <row r="3" spans="2:5" x14ac:dyDescent="0.4">
      <c r="B3" t="s">
        <v>74</v>
      </c>
      <c r="C3" s="31">
        <v>307.51</v>
      </c>
      <c r="D3" t="s">
        <v>61</v>
      </c>
      <c r="E3" t="s">
        <v>104</v>
      </c>
    </row>
    <row r="4" spans="2:5" x14ac:dyDescent="0.4">
      <c r="B4" t="s">
        <v>64</v>
      </c>
      <c r="C4" s="31">
        <v>0.87</v>
      </c>
      <c r="D4" t="s">
        <v>75</v>
      </c>
      <c r="E4" t="s">
        <v>95</v>
      </c>
    </row>
    <row r="5" spans="2:5" x14ac:dyDescent="0.4">
      <c r="B5" t="s">
        <v>65</v>
      </c>
      <c r="C5" s="32">
        <v>2.8</v>
      </c>
      <c r="D5" t="s">
        <v>76</v>
      </c>
      <c r="E5" t="s">
        <v>97</v>
      </c>
    </row>
    <row r="6" spans="2:5" x14ac:dyDescent="0.4">
      <c r="B6" t="s">
        <v>66</v>
      </c>
      <c r="C6" s="32">
        <v>4.3</v>
      </c>
      <c r="D6" t="s">
        <v>76</v>
      </c>
      <c r="E6" t="s">
        <v>96</v>
      </c>
    </row>
    <row r="7" spans="2:5" x14ac:dyDescent="0.4">
      <c r="B7" t="s">
        <v>101</v>
      </c>
      <c r="C7" s="24" t="s">
        <v>80</v>
      </c>
      <c r="E7" t="s">
        <v>103</v>
      </c>
    </row>
    <row r="8" spans="2:5" x14ac:dyDescent="0.4">
      <c r="B8" t="s">
        <v>68</v>
      </c>
      <c r="C8" s="24" t="s">
        <v>77</v>
      </c>
      <c r="E8" t="s">
        <v>102</v>
      </c>
    </row>
    <row r="9" spans="2:5" x14ac:dyDescent="0.4">
      <c r="B9" t="s">
        <v>69</v>
      </c>
      <c r="C9" s="24" t="s">
        <v>87</v>
      </c>
      <c r="E9" t="s">
        <v>98</v>
      </c>
    </row>
    <row r="10" spans="2:5" x14ac:dyDescent="0.4">
      <c r="B10" t="s">
        <v>90</v>
      </c>
      <c r="C10" s="30"/>
      <c r="D10" t="s">
        <v>91</v>
      </c>
      <c r="E10" t="s">
        <v>99</v>
      </c>
    </row>
    <row r="11" spans="2:5" x14ac:dyDescent="0.4">
      <c r="B11" t="s">
        <v>92</v>
      </c>
      <c r="C11" s="24" t="s">
        <v>94</v>
      </c>
      <c r="E11" t="s">
        <v>100</v>
      </c>
    </row>
  </sheetData>
  <phoneticPr fontId="1"/>
  <dataValidations count="5">
    <dataValidation type="list" allowBlank="1" showInputMessage="1" showErrorMessage="1" sqref="C2" xr:uid="{D59A302C-12AD-413D-BDE0-05F0C324A1BD}">
      <formula1>外皮性能の評価方法</formula1>
    </dataValidation>
    <dataValidation type="list" allowBlank="1" showInputMessage="1" showErrorMessage="1" sqref="C7" xr:uid="{E59240FD-41E9-4FF2-B035-22797B5DEB00}">
      <formula1>通風の利用</formula1>
    </dataValidation>
    <dataValidation type="list" allowBlank="1" showInputMessage="1" showErrorMessage="1" sqref="C8" xr:uid="{98361152-89D6-481A-8642-5BE0A5888DC5}">
      <formula1>蓄熱の利用</formula1>
    </dataValidation>
    <dataValidation type="list" allowBlank="1" showInputMessage="1" showErrorMessage="1" sqref="C9" xr:uid="{BDF3688F-B7CC-44B1-914F-00F42A63ECAE}">
      <formula1>床下空間を経由して外気を導入する換気方式の利用</formula1>
    </dataValidation>
    <dataValidation type="list" allowBlank="1" showInputMessage="1" showErrorMessage="1" sqref="C11" xr:uid="{7C1DA7F2-B1DB-44A7-906F-8EEE466EA8B6}">
      <formula1>床下空間の断熱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40E-59E2-4DBD-83E0-00D021A9601F}">
  <sheetPr codeName="Sheet03"/>
  <dimension ref="A2:D26"/>
  <sheetViews>
    <sheetView workbookViewId="0"/>
  </sheetViews>
  <sheetFormatPr defaultRowHeight="18.75" x14ac:dyDescent="0.4"/>
  <cols>
    <col min="2" max="2" width="45.375" bestFit="1" customWidth="1"/>
    <col min="3" max="3" width="85.75" bestFit="1" customWidth="1"/>
  </cols>
  <sheetData>
    <row r="2" spans="1:4" x14ac:dyDescent="0.4">
      <c r="A2">
        <v>1</v>
      </c>
      <c r="B2" t="s">
        <v>105</v>
      </c>
      <c r="C2" s="24" t="s">
        <v>106</v>
      </c>
    </row>
    <row r="3" spans="1:4" x14ac:dyDescent="0.4">
      <c r="A3">
        <v>2</v>
      </c>
      <c r="B3" t="s">
        <v>161</v>
      </c>
      <c r="C3" s="24" t="s">
        <v>110</v>
      </c>
    </row>
    <row r="4" spans="1:4" x14ac:dyDescent="0.4">
      <c r="B4" t="s">
        <v>177</v>
      </c>
      <c r="C4" s="24" t="s">
        <v>123</v>
      </c>
    </row>
    <row r="5" spans="1:4" x14ac:dyDescent="0.4">
      <c r="B5" t="s">
        <v>162</v>
      </c>
      <c r="C5" s="24" t="s">
        <v>123</v>
      </c>
    </row>
    <row r="6" spans="1:4" x14ac:dyDescent="0.4">
      <c r="B6" t="s">
        <v>164</v>
      </c>
      <c r="C6">
        <v>70</v>
      </c>
      <c r="D6" t="s">
        <v>91</v>
      </c>
    </row>
    <row r="7" spans="1:4" x14ac:dyDescent="0.4">
      <c r="B7" t="s">
        <v>163</v>
      </c>
      <c r="C7" s="24" t="s">
        <v>126</v>
      </c>
    </row>
    <row r="8" spans="1:4" x14ac:dyDescent="0.4">
      <c r="B8" t="s">
        <v>178</v>
      </c>
      <c r="C8" s="24" t="s">
        <v>142</v>
      </c>
    </row>
    <row r="9" spans="1:4" x14ac:dyDescent="0.4">
      <c r="B9" t="s">
        <v>179</v>
      </c>
      <c r="C9" s="28">
        <v>12.5</v>
      </c>
      <c r="D9" t="s">
        <v>173</v>
      </c>
    </row>
    <row r="10" spans="1:4" x14ac:dyDescent="0.4">
      <c r="B10" t="s">
        <v>180</v>
      </c>
      <c r="C10" s="28">
        <v>63.7</v>
      </c>
      <c r="D10" t="s">
        <v>174</v>
      </c>
    </row>
    <row r="11" spans="1:4" x14ac:dyDescent="0.4">
      <c r="B11" t="s">
        <v>181</v>
      </c>
      <c r="C11" s="29">
        <v>155</v>
      </c>
      <c r="D11" t="s">
        <v>175</v>
      </c>
    </row>
    <row r="12" spans="1:4" x14ac:dyDescent="0.4">
      <c r="B12" t="s">
        <v>182</v>
      </c>
      <c r="C12" s="29">
        <v>134</v>
      </c>
      <c r="D12" t="s">
        <v>176</v>
      </c>
    </row>
    <row r="13" spans="1:4" x14ac:dyDescent="0.4">
      <c r="B13" t="s">
        <v>183</v>
      </c>
      <c r="C13" s="24"/>
      <c r="D13" t="s">
        <v>184</v>
      </c>
    </row>
    <row r="14" spans="1:4" x14ac:dyDescent="0.4">
      <c r="A14">
        <v>3</v>
      </c>
      <c r="B14" t="s">
        <v>159</v>
      </c>
      <c r="C14" s="24" t="s">
        <v>110</v>
      </c>
    </row>
    <row r="15" spans="1:4" x14ac:dyDescent="0.4">
      <c r="B15" t="s">
        <v>160</v>
      </c>
      <c r="C15" s="24" t="s">
        <v>122</v>
      </c>
    </row>
    <row r="16" spans="1:4" x14ac:dyDescent="0.4">
      <c r="B16" t="s">
        <v>165</v>
      </c>
      <c r="C16">
        <v>70</v>
      </c>
      <c r="D16" t="s">
        <v>91</v>
      </c>
    </row>
    <row r="17" spans="1:3" x14ac:dyDescent="0.4">
      <c r="A17">
        <v>4</v>
      </c>
      <c r="B17" t="s">
        <v>128</v>
      </c>
      <c r="C17" s="24" t="s">
        <v>129</v>
      </c>
    </row>
    <row r="18" spans="1:3" x14ac:dyDescent="0.4">
      <c r="B18" t="s">
        <v>140</v>
      </c>
      <c r="C18" s="24" t="s">
        <v>122</v>
      </c>
    </row>
    <row r="19" spans="1:3" x14ac:dyDescent="0.4">
      <c r="B19" t="s">
        <v>141</v>
      </c>
      <c r="C19" s="24" t="s">
        <v>142</v>
      </c>
    </row>
    <row r="20" spans="1:3" x14ac:dyDescent="0.4">
      <c r="B20" t="s">
        <v>144</v>
      </c>
      <c r="C20" s="24" t="s">
        <v>145</v>
      </c>
    </row>
    <row r="21" spans="1:3" x14ac:dyDescent="0.4">
      <c r="A21">
        <v>5</v>
      </c>
      <c r="B21" t="s">
        <v>147</v>
      </c>
      <c r="C21" s="24" t="s">
        <v>148</v>
      </c>
    </row>
    <row r="22" spans="1:3" x14ac:dyDescent="0.4">
      <c r="B22" t="s">
        <v>149</v>
      </c>
      <c r="C22" s="24" t="s">
        <v>145</v>
      </c>
    </row>
    <row r="23" spans="1:3" x14ac:dyDescent="0.4">
      <c r="B23" t="s">
        <v>150</v>
      </c>
      <c r="C23" s="24" t="s">
        <v>151</v>
      </c>
    </row>
    <row r="24" spans="1:3" x14ac:dyDescent="0.4">
      <c r="B24" t="s">
        <v>152</v>
      </c>
      <c r="C24" s="24" t="s">
        <v>153</v>
      </c>
    </row>
    <row r="25" spans="1:3" x14ac:dyDescent="0.4">
      <c r="B25" t="s">
        <v>155</v>
      </c>
      <c r="C25" s="24" t="s">
        <v>122</v>
      </c>
    </row>
    <row r="26" spans="1:3" x14ac:dyDescent="0.4">
      <c r="B26" t="s">
        <v>158</v>
      </c>
      <c r="C26" s="24" t="s">
        <v>122</v>
      </c>
    </row>
  </sheetData>
  <phoneticPr fontId="1"/>
  <dataValidations count="18">
    <dataValidation type="list" allowBlank="1" showInputMessage="1" showErrorMessage="1" sqref="C2" xr:uid="{C19767C4-98EF-4C19-9BE3-FE181831CEDD}">
      <formula1>暖房方式</formula1>
    </dataValidation>
    <dataValidation type="list" allowBlank="1" showInputMessage="1" showErrorMessage="1" sqref="C3" xr:uid="{007460E5-CFC8-459F-A89F-EB39EACC4DB3}">
      <formula1>主たる居室_暖房設備機器または放熱器の種類</formula1>
    </dataValidation>
    <dataValidation type="list" allowBlank="1" showInputMessage="1" showErrorMessage="1" sqref="C5" xr:uid="{33A69E30-6056-40AB-953B-B0A8EBB83DF9}">
      <formula1>主たる居室_敷設率の入力</formula1>
    </dataValidation>
    <dataValidation type="list" allowBlank="1" showInputMessage="1" showErrorMessage="1" sqref="C7" xr:uid="{065D0D7E-CA14-44D3-8D74-F66CA276C88B}">
      <formula1>主たる居室_低出力モード</formula1>
    </dataValidation>
    <dataValidation type="list" allowBlank="1" showInputMessage="1" showErrorMessage="1" sqref="C14" xr:uid="{944DF9DB-F7C6-4716-96E2-373F59427D72}">
      <formula1>その他の居室_暖房設備機器または放熱器の種類</formula1>
    </dataValidation>
    <dataValidation type="list" allowBlank="1" showInputMessage="1" showErrorMessage="1" sqref="C15" xr:uid="{099730F8-8DE8-4C4F-BFB6-4C7BEF28ED4A}">
      <formula1>その他の居室_敷設率の入力</formula1>
    </dataValidation>
    <dataValidation type="list" allowBlank="1" showInputMessage="1" showErrorMessage="1" sqref="C17" xr:uid="{46C87AE1-2478-48AF-A6C7-B16A052B99A3}">
      <formula1>温水暖房機の種類</formula1>
    </dataValidation>
    <dataValidation type="list" allowBlank="1" showInputMessage="1" showErrorMessage="1" sqref="C18" xr:uid="{C4B45C41-862E-426E-A8ED-F3A7144408F2}">
      <formula1>エネルギー消費効率の入力</formula1>
    </dataValidation>
    <dataValidation type="list" allowBlank="1" showInputMessage="1" showErrorMessage="1" sqref="C19" xr:uid="{439BFC1D-AE09-4120-A82B-2DB5A7BDF494}">
      <formula1>断熱配管</formula1>
    </dataValidation>
    <dataValidation type="list" allowBlank="1" showInputMessage="1" showErrorMessage="1" sqref="C20" xr:uid="{9CC77B75-703D-46C0-8DFD-9B96F7069C16}">
      <formula1>配管が通過する空間</formula1>
    </dataValidation>
    <dataValidation type="list" allowBlank="1" showInputMessage="1" showErrorMessage="1" sqref="C21" xr:uid="{A99AFFE9-B777-40CC-BD95-A8F4946E1015}">
      <formula1>暖房設備機器の種類</formula1>
    </dataValidation>
    <dataValidation type="list" allowBlank="1" showInputMessage="1" showErrorMessage="1" sqref="C22" xr:uid="{21A7CA81-313D-44E8-9F78-B4A6B3774353}">
      <formula1>ダクトが通過する空間</formula1>
    </dataValidation>
    <dataValidation type="list" allowBlank="1" showInputMessage="1" showErrorMessage="1" sqref="C23" xr:uid="{D544FCF6-236E-4274-882B-0BB989988FA5}">
      <formula1>VAV方式</formula1>
    </dataValidation>
    <dataValidation type="list" allowBlank="1" showInputMessage="1" showErrorMessage="1" sqref="C24" xr:uid="{CE4BDF4E-4B30-4F1E-A348-D08262CFB0C6}">
      <formula1>全般換気機能</formula1>
    </dataValidation>
    <dataValidation type="list" allowBlank="1" showInputMessage="1" showErrorMessage="1" sqref="C25" xr:uid="{9E9CAFEA-200B-4549-8CDC-66A92978C66C}">
      <formula1>機器の仕様の入力</formula1>
    </dataValidation>
    <dataValidation type="list" allowBlank="1" showInputMessage="1" showErrorMessage="1" sqref="C26" xr:uid="{CD3939E9-1577-4372-8C9F-095F8037C334}">
      <formula1>設計風量の入力</formula1>
    </dataValidation>
    <dataValidation type="list" allowBlank="1" showInputMessage="1" showErrorMessage="1" sqref="C4" xr:uid="{7ECF6A48-4B5D-46FF-9B6F-936650D473F7}">
      <formula1>主たる居室_エネルギー消費効率の入力</formula1>
    </dataValidation>
    <dataValidation type="list" allowBlank="1" showInputMessage="1" showErrorMessage="1" sqref="C8:C13" xr:uid="{3EA71AC5-A5B8-45DF-ADFD-FA0A0F5555F6}">
      <formula1>主たる居室_断熱配管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EFE7-1615-433D-8EC1-48B1B32DCB45}">
  <sheetPr codeName="Sheet0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41AB-7251-42CF-8ABE-562A02381964}">
  <sheetPr codeName="Sheet0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131D-8C52-498D-B5F9-114BBA8C4EF9}">
  <sheetPr codeName="Sheet0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A1F-7BA4-4F55-9785-7FB3AE963ABC}">
  <sheetPr codeName="Sheet0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ADC4-B7CE-48EC-BF06-AC1F057E8143}">
  <sheetPr codeName="Sheet0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F51B-C9C4-4094-83AA-D04E9A738579}">
  <sheetPr codeName="Sheet0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1382-67C9-4CBE-A984-207E42BC036F}">
  <sheetPr codeName="Sheet1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973F-8102-434B-BB38-832F3B82B463}">
  <sheetPr codeName="Sheet1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7AC87-6B90-4D28-A557-78D16649D210}">
  <sheetPr codeName="Sheet29"/>
  <dimension ref="A2:E139"/>
  <sheetViews>
    <sheetView workbookViewId="0"/>
  </sheetViews>
  <sheetFormatPr defaultRowHeight="18.75" x14ac:dyDescent="0.4"/>
  <cols>
    <col min="1" max="1" width="9.25" style="2" bestFit="1" customWidth="1"/>
    <col min="2" max="2" width="8" style="4" customWidth="1"/>
    <col min="3" max="3" width="41.625" style="2" bestFit="1" customWidth="1"/>
    <col min="4" max="4" width="74.375" style="2" bestFit="1" customWidth="1"/>
    <col min="5" max="5" width="23.625" bestFit="1" customWidth="1"/>
  </cols>
  <sheetData>
    <row r="2" spans="1:4" x14ac:dyDescent="0.4">
      <c r="A2" s="57" t="s">
        <v>227</v>
      </c>
      <c r="B2" s="50" t="s">
        <v>203</v>
      </c>
      <c r="C2" s="51" t="s">
        <v>206</v>
      </c>
      <c r="D2" s="52" t="s">
        <v>3</v>
      </c>
    </row>
    <row r="3" spans="1:4" x14ac:dyDescent="0.4">
      <c r="A3" s="58" t="s">
        <v>227</v>
      </c>
      <c r="B3" s="53"/>
      <c r="C3" s="54" t="s">
        <v>207</v>
      </c>
      <c r="D3" s="55" t="s">
        <v>37</v>
      </c>
    </row>
    <row r="4" spans="1:4" x14ac:dyDescent="0.4">
      <c r="A4" s="58" t="s">
        <v>227</v>
      </c>
      <c r="B4" s="53"/>
      <c r="C4" s="54" t="s">
        <v>205</v>
      </c>
      <c r="D4" s="55" t="s">
        <v>6</v>
      </c>
    </row>
    <row r="5" spans="1:4" x14ac:dyDescent="0.4">
      <c r="A5" s="58" t="s">
        <v>227</v>
      </c>
      <c r="B5" s="48"/>
      <c r="C5" s="49" t="s">
        <v>204</v>
      </c>
      <c r="D5" s="56" t="s">
        <v>197</v>
      </c>
    </row>
    <row r="6" spans="1:4" x14ac:dyDescent="0.4">
      <c r="A6" s="58" t="s">
        <v>227</v>
      </c>
      <c r="B6" s="53"/>
      <c r="C6" s="54" t="s">
        <v>209</v>
      </c>
      <c r="D6" s="55" t="s">
        <v>4</v>
      </c>
    </row>
    <row r="7" spans="1:4" x14ac:dyDescent="0.4">
      <c r="A7" s="58" t="s">
        <v>227</v>
      </c>
      <c r="B7" s="48"/>
      <c r="C7" s="49" t="s">
        <v>208</v>
      </c>
      <c r="D7" s="56" t="s">
        <v>5</v>
      </c>
    </row>
    <row r="8" spans="1:4" x14ac:dyDescent="0.4">
      <c r="A8" s="58" t="s">
        <v>227</v>
      </c>
      <c r="B8" s="53"/>
      <c r="C8" s="54" t="s">
        <v>211</v>
      </c>
      <c r="D8" s="55" t="s">
        <v>38</v>
      </c>
    </row>
    <row r="9" spans="1:4" x14ac:dyDescent="0.4">
      <c r="A9" s="58" t="s">
        <v>227</v>
      </c>
      <c r="B9" s="48"/>
      <c r="C9" s="49" t="s">
        <v>210</v>
      </c>
      <c r="D9" s="56" t="s">
        <v>39</v>
      </c>
    </row>
    <row r="10" spans="1:4" x14ac:dyDescent="0.4">
      <c r="A10" s="58" t="s">
        <v>227</v>
      </c>
      <c r="B10" s="53"/>
      <c r="C10" s="54" t="s">
        <v>213</v>
      </c>
      <c r="D10" s="55" t="s">
        <v>40</v>
      </c>
    </row>
    <row r="11" spans="1:4" x14ac:dyDescent="0.4">
      <c r="A11" s="58" t="s">
        <v>227</v>
      </c>
      <c r="B11" s="53"/>
      <c r="C11" s="54" t="s">
        <v>212</v>
      </c>
      <c r="D11" s="55" t="s">
        <v>41</v>
      </c>
    </row>
    <row r="12" spans="1:4" x14ac:dyDescent="0.4">
      <c r="A12" s="58" t="s">
        <v>227</v>
      </c>
      <c r="B12" s="48"/>
      <c r="C12" s="49" t="s">
        <v>212</v>
      </c>
      <c r="D12" s="56" t="s">
        <v>42</v>
      </c>
    </row>
    <row r="13" spans="1:4" x14ac:dyDescent="0.4">
      <c r="A13" s="58" t="s">
        <v>227</v>
      </c>
      <c r="B13" s="53"/>
      <c r="C13" s="54" t="s">
        <v>219</v>
      </c>
      <c r="D13" s="55" t="s">
        <v>43</v>
      </c>
    </row>
    <row r="14" spans="1:4" x14ac:dyDescent="0.4">
      <c r="A14" s="58" t="s">
        <v>227</v>
      </c>
      <c r="B14" s="53"/>
      <c r="C14" s="54" t="s">
        <v>218</v>
      </c>
      <c r="D14" s="55" t="s">
        <v>44</v>
      </c>
    </row>
    <row r="15" spans="1:4" x14ac:dyDescent="0.4">
      <c r="A15" s="58" t="s">
        <v>227</v>
      </c>
      <c r="B15" s="53"/>
      <c r="C15" s="54" t="s">
        <v>218</v>
      </c>
      <c r="D15" s="55" t="s">
        <v>45</v>
      </c>
    </row>
    <row r="16" spans="1:4" x14ac:dyDescent="0.4">
      <c r="A16" s="58" t="s">
        <v>227</v>
      </c>
      <c r="B16" s="53"/>
      <c r="C16" s="54" t="s">
        <v>218</v>
      </c>
      <c r="D16" s="55" t="s">
        <v>46</v>
      </c>
    </row>
    <row r="17" spans="1:5" x14ac:dyDescent="0.4">
      <c r="A17" s="58" t="s">
        <v>227</v>
      </c>
      <c r="B17" s="53"/>
      <c r="C17" s="54" t="s">
        <v>218</v>
      </c>
      <c r="D17" s="55" t="s">
        <v>47</v>
      </c>
    </row>
    <row r="18" spans="1:5" x14ac:dyDescent="0.4">
      <c r="A18" s="58" t="s">
        <v>227</v>
      </c>
      <c r="B18" s="53"/>
      <c r="C18" s="54" t="s">
        <v>218</v>
      </c>
      <c r="D18" s="55" t="s">
        <v>48</v>
      </c>
    </row>
    <row r="19" spans="1:5" x14ac:dyDescent="0.4">
      <c r="A19" s="58" t="s">
        <v>227</v>
      </c>
      <c r="B19" s="53"/>
      <c r="C19" s="54" t="s">
        <v>218</v>
      </c>
      <c r="D19" s="55" t="s">
        <v>49</v>
      </c>
    </row>
    <row r="20" spans="1:5" x14ac:dyDescent="0.4">
      <c r="A20" s="58" t="s">
        <v>227</v>
      </c>
      <c r="B20" s="48"/>
      <c r="C20" s="49" t="s">
        <v>218</v>
      </c>
      <c r="D20" s="56" t="s">
        <v>50</v>
      </c>
    </row>
    <row r="21" spans="1:5" x14ac:dyDescent="0.4">
      <c r="A21" s="58" t="s">
        <v>227</v>
      </c>
      <c r="B21" s="53"/>
      <c r="C21" s="54" t="s">
        <v>215</v>
      </c>
      <c r="D21" s="55" t="s">
        <v>51</v>
      </c>
    </row>
    <row r="22" spans="1:5" x14ac:dyDescent="0.4">
      <c r="A22" s="58" t="s">
        <v>227</v>
      </c>
      <c r="B22" s="48"/>
      <c r="C22" s="49" t="s">
        <v>214</v>
      </c>
      <c r="D22" s="56" t="s">
        <v>57</v>
      </c>
    </row>
    <row r="23" spans="1:5" x14ac:dyDescent="0.4">
      <c r="A23" s="58" t="s">
        <v>227</v>
      </c>
      <c r="B23" s="53"/>
      <c r="C23" s="54" t="s">
        <v>217</v>
      </c>
      <c r="D23" s="55" t="s">
        <v>52</v>
      </c>
    </row>
    <row r="24" spans="1:5" x14ac:dyDescent="0.4">
      <c r="A24" s="58" t="s">
        <v>227</v>
      </c>
      <c r="B24" s="53"/>
      <c r="C24" s="54" t="s">
        <v>216</v>
      </c>
      <c r="D24" s="55" t="s">
        <v>53</v>
      </c>
    </row>
    <row r="25" spans="1:5" x14ac:dyDescent="0.4">
      <c r="A25" s="58" t="s">
        <v>227</v>
      </c>
      <c r="B25" s="53"/>
      <c r="C25" s="54" t="s">
        <v>216</v>
      </c>
      <c r="D25" s="55" t="s">
        <v>54</v>
      </c>
    </row>
    <row r="26" spans="1:5" x14ac:dyDescent="0.4">
      <c r="A26" s="58" t="s">
        <v>227</v>
      </c>
      <c r="B26" s="53"/>
      <c r="C26" s="54" t="s">
        <v>216</v>
      </c>
      <c r="D26" s="55" t="s">
        <v>55</v>
      </c>
    </row>
    <row r="27" spans="1:5" x14ac:dyDescent="0.4">
      <c r="A27" s="59" t="s">
        <v>227</v>
      </c>
      <c r="B27" s="48"/>
      <c r="C27" s="49" t="s">
        <v>216</v>
      </c>
      <c r="D27" s="56" t="s">
        <v>56</v>
      </c>
    </row>
    <row r="28" spans="1:5" x14ac:dyDescent="0.4">
      <c r="A28" s="2" t="s">
        <v>62</v>
      </c>
      <c r="C28" s="2" t="s">
        <v>63</v>
      </c>
      <c r="D28" s="2" t="s">
        <v>70</v>
      </c>
    </row>
    <row r="29" spans="1:5" x14ac:dyDescent="0.4">
      <c r="D29" s="2" t="s">
        <v>71</v>
      </c>
    </row>
    <row r="30" spans="1:5" x14ac:dyDescent="0.4">
      <c r="D30" s="2" t="s">
        <v>72</v>
      </c>
    </row>
    <row r="31" spans="1:5" x14ac:dyDescent="0.4">
      <c r="D31" s="2" t="s">
        <v>73</v>
      </c>
    </row>
    <row r="32" spans="1:5" x14ac:dyDescent="0.4">
      <c r="C32" s="2" t="s">
        <v>74</v>
      </c>
      <c r="E32" t="s">
        <v>61</v>
      </c>
    </row>
    <row r="33" spans="3:5" x14ac:dyDescent="0.4">
      <c r="C33" s="2" t="s">
        <v>64</v>
      </c>
      <c r="E33" t="s">
        <v>75</v>
      </c>
    </row>
    <row r="34" spans="3:5" x14ac:dyDescent="0.4">
      <c r="C34" s="2" t="s">
        <v>65</v>
      </c>
      <c r="E34" t="s">
        <v>76</v>
      </c>
    </row>
    <row r="35" spans="3:5" x14ac:dyDescent="0.4">
      <c r="C35" s="2" t="s">
        <v>66</v>
      </c>
      <c r="E35" t="s">
        <v>76</v>
      </c>
    </row>
    <row r="36" spans="3:5" x14ac:dyDescent="0.4">
      <c r="C36" s="2" t="s">
        <v>67</v>
      </c>
      <c r="D36" s="2" t="s">
        <v>78</v>
      </c>
    </row>
    <row r="37" spans="3:5" x14ac:dyDescent="0.4">
      <c r="D37" s="2" t="s">
        <v>79</v>
      </c>
    </row>
    <row r="38" spans="3:5" x14ac:dyDescent="0.4">
      <c r="D38" s="2" t="s">
        <v>81</v>
      </c>
    </row>
    <row r="39" spans="3:5" x14ac:dyDescent="0.4">
      <c r="D39" s="2" t="s">
        <v>82</v>
      </c>
    </row>
    <row r="40" spans="3:5" x14ac:dyDescent="0.4">
      <c r="D40" s="2" t="s">
        <v>83</v>
      </c>
    </row>
    <row r="41" spans="3:5" x14ac:dyDescent="0.4">
      <c r="D41" s="2" t="s">
        <v>84</v>
      </c>
    </row>
    <row r="42" spans="3:5" x14ac:dyDescent="0.4">
      <c r="C42" s="2" t="s">
        <v>68</v>
      </c>
      <c r="D42" s="2" t="s">
        <v>85</v>
      </c>
    </row>
    <row r="43" spans="3:5" x14ac:dyDescent="0.4">
      <c r="D43" s="2" t="s">
        <v>86</v>
      </c>
    </row>
    <row r="44" spans="3:5" x14ac:dyDescent="0.4">
      <c r="C44" s="2" t="s">
        <v>69</v>
      </c>
      <c r="D44" s="2" t="s">
        <v>85</v>
      </c>
    </row>
    <row r="45" spans="3:5" x14ac:dyDescent="0.4">
      <c r="D45" s="2" t="s">
        <v>88</v>
      </c>
    </row>
    <row r="46" spans="3:5" x14ac:dyDescent="0.4">
      <c r="C46" s="2" t="s">
        <v>89</v>
      </c>
      <c r="E46" t="s">
        <v>91</v>
      </c>
    </row>
    <row r="47" spans="3:5" x14ac:dyDescent="0.4">
      <c r="C47" s="2" t="s">
        <v>92</v>
      </c>
      <c r="D47" s="2" t="s">
        <v>93</v>
      </c>
    </row>
    <row r="48" spans="3:5" x14ac:dyDescent="0.4">
      <c r="D48" s="2" t="s">
        <v>94</v>
      </c>
    </row>
    <row r="49" spans="1:4" x14ac:dyDescent="0.4">
      <c r="A49" s="3" t="s">
        <v>109</v>
      </c>
      <c r="B49" s="5">
        <v>1</v>
      </c>
      <c r="C49" s="6" t="s">
        <v>105</v>
      </c>
      <c r="D49" s="7" t="s">
        <v>106</v>
      </c>
    </row>
    <row r="50" spans="1:4" x14ac:dyDescent="0.4">
      <c r="A50" s="3"/>
      <c r="B50" s="8"/>
      <c r="C50" s="9"/>
      <c r="D50" s="10" t="s">
        <v>107</v>
      </c>
    </row>
    <row r="51" spans="1:4" x14ac:dyDescent="0.4">
      <c r="A51" s="3"/>
      <c r="B51" s="8"/>
      <c r="C51" s="9"/>
      <c r="D51" s="10" t="s">
        <v>108</v>
      </c>
    </row>
    <row r="52" spans="1:4" x14ac:dyDescent="0.4">
      <c r="A52" s="3"/>
      <c r="B52" s="14">
        <v>2</v>
      </c>
      <c r="C52" s="23" t="s">
        <v>169</v>
      </c>
      <c r="D52" s="15" t="s">
        <v>110</v>
      </c>
    </row>
    <row r="53" spans="1:4" x14ac:dyDescent="0.4">
      <c r="A53" s="3"/>
      <c r="B53" s="16"/>
      <c r="C53" s="9"/>
      <c r="D53" s="17" t="s">
        <v>111</v>
      </c>
    </row>
    <row r="54" spans="1:4" x14ac:dyDescent="0.4">
      <c r="A54" s="3"/>
      <c r="B54" s="16"/>
      <c r="C54" s="9"/>
      <c r="D54" s="17" t="s">
        <v>112</v>
      </c>
    </row>
    <row r="55" spans="1:4" x14ac:dyDescent="0.4">
      <c r="A55" s="3"/>
      <c r="B55" s="16"/>
      <c r="C55" s="9"/>
      <c r="D55" s="17" t="s">
        <v>113</v>
      </c>
    </row>
    <row r="56" spans="1:4" x14ac:dyDescent="0.4">
      <c r="A56" s="3"/>
      <c r="B56" s="16"/>
      <c r="C56" s="9"/>
      <c r="D56" s="17" t="s">
        <v>114</v>
      </c>
    </row>
    <row r="57" spans="1:4" x14ac:dyDescent="0.4">
      <c r="A57" s="3"/>
      <c r="B57" s="16"/>
      <c r="C57" s="9"/>
      <c r="D57" s="17" t="s">
        <v>115</v>
      </c>
    </row>
    <row r="58" spans="1:4" x14ac:dyDescent="0.4">
      <c r="A58" s="3"/>
      <c r="B58" s="16"/>
      <c r="C58" s="9"/>
      <c r="D58" s="17" t="s">
        <v>116</v>
      </c>
    </row>
    <row r="59" spans="1:4" x14ac:dyDescent="0.4">
      <c r="A59" s="3"/>
      <c r="B59" s="16"/>
      <c r="C59" s="9"/>
      <c r="D59" s="17" t="s">
        <v>117</v>
      </c>
    </row>
    <row r="60" spans="1:4" x14ac:dyDescent="0.4">
      <c r="A60" s="3"/>
      <c r="B60" s="16"/>
      <c r="C60" s="9"/>
      <c r="D60" s="17" t="s">
        <v>118</v>
      </c>
    </row>
    <row r="61" spans="1:4" x14ac:dyDescent="0.4">
      <c r="A61" s="3"/>
      <c r="B61" s="16"/>
      <c r="C61" s="9"/>
      <c r="D61" s="17" t="s">
        <v>119</v>
      </c>
    </row>
    <row r="62" spans="1:4" x14ac:dyDescent="0.4">
      <c r="A62" s="3"/>
      <c r="B62" s="16"/>
      <c r="C62" s="9"/>
      <c r="D62" s="17" t="s">
        <v>120</v>
      </c>
    </row>
    <row r="63" spans="1:4" x14ac:dyDescent="0.4">
      <c r="A63" s="3"/>
      <c r="B63" s="16"/>
      <c r="C63" s="9"/>
      <c r="D63" s="17" t="s">
        <v>121</v>
      </c>
    </row>
    <row r="64" spans="1:4" x14ac:dyDescent="0.4">
      <c r="A64" s="3"/>
      <c r="B64" s="16"/>
      <c r="C64" s="21" t="s">
        <v>186</v>
      </c>
      <c r="D64" s="17" t="s">
        <v>122</v>
      </c>
    </row>
    <row r="65" spans="1:5" x14ac:dyDescent="0.4">
      <c r="A65" s="3"/>
      <c r="B65" s="16"/>
      <c r="C65" s="9"/>
      <c r="D65" s="17" t="s">
        <v>123</v>
      </c>
    </row>
    <row r="66" spans="1:5" x14ac:dyDescent="0.4">
      <c r="A66" s="3"/>
      <c r="B66" s="16"/>
      <c r="C66" s="9" t="s">
        <v>185</v>
      </c>
      <c r="D66" s="17"/>
      <c r="E66" t="s">
        <v>174</v>
      </c>
    </row>
    <row r="67" spans="1:5" x14ac:dyDescent="0.4">
      <c r="A67" s="3"/>
      <c r="B67" s="16"/>
      <c r="C67" s="9"/>
      <c r="D67" s="17"/>
    </row>
    <row r="68" spans="1:5" x14ac:dyDescent="0.4">
      <c r="A68" s="3"/>
      <c r="B68" s="16"/>
      <c r="C68" s="9"/>
      <c r="D68" s="17"/>
    </row>
    <row r="69" spans="1:5" x14ac:dyDescent="0.4">
      <c r="A69" s="3"/>
      <c r="B69" s="16"/>
      <c r="C69" s="9"/>
      <c r="D69" s="17"/>
    </row>
    <row r="70" spans="1:5" x14ac:dyDescent="0.4">
      <c r="A70" s="3"/>
      <c r="B70" s="16"/>
      <c r="C70" s="9"/>
      <c r="D70" s="17"/>
    </row>
    <row r="71" spans="1:5" x14ac:dyDescent="0.4">
      <c r="A71" s="3"/>
      <c r="B71" s="16"/>
      <c r="C71" s="21" t="s">
        <v>170</v>
      </c>
      <c r="D71" s="17" t="s">
        <v>122</v>
      </c>
    </row>
    <row r="72" spans="1:5" x14ac:dyDescent="0.4">
      <c r="A72" s="3"/>
      <c r="B72" s="16"/>
      <c r="C72" s="9"/>
      <c r="D72" s="17" t="s">
        <v>123</v>
      </c>
    </row>
    <row r="73" spans="1:5" x14ac:dyDescent="0.4">
      <c r="A73" s="3"/>
      <c r="B73" s="16"/>
      <c r="C73" s="21" t="s">
        <v>171</v>
      </c>
      <c r="D73" s="17"/>
      <c r="E73" t="s">
        <v>91</v>
      </c>
    </row>
    <row r="74" spans="1:5" x14ac:dyDescent="0.4">
      <c r="A74" s="3"/>
      <c r="B74" s="16"/>
      <c r="C74" s="21" t="s">
        <v>172</v>
      </c>
      <c r="D74" s="17" t="s">
        <v>126</v>
      </c>
    </row>
    <row r="75" spans="1:5" x14ac:dyDescent="0.4">
      <c r="A75" s="3"/>
      <c r="B75" s="16"/>
      <c r="C75" s="9"/>
      <c r="D75" s="17" t="s">
        <v>127</v>
      </c>
    </row>
    <row r="76" spans="1:5" x14ac:dyDescent="0.4">
      <c r="A76" s="3"/>
      <c r="B76" s="25"/>
      <c r="C76" s="21" t="s">
        <v>187</v>
      </c>
      <c r="D76" s="9" t="s">
        <v>142</v>
      </c>
    </row>
    <row r="77" spans="1:5" x14ac:dyDescent="0.4">
      <c r="A77" s="3"/>
      <c r="B77" s="25"/>
      <c r="C77" s="9"/>
      <c r="D77" s="9" t="s">
        <v>143</v>
      </c>
    </row>
    <row r="78" spans="1:5" x14ac:dyDescent="0.4">
      <c r="A78" s="3"/>
      <c r="B78" s="25"/>
      <c r="C78" s="21" t="s">
        <v>188</v>
      </c>
      <c r="D78" s="26">
        <v>12.5</v>
      </c>
      <c r="E78" t="s">
        <v>173</v>
      </c>
    </row>
    <row r="79" spans="1:5" x14ac:dyDescent="0.4">
      <c r="A79" s="3"/>
      <c r="B79" s="25"/>
      <c r="C79" s="21" t="s">
        <v>189</v>
      </c>
      <c r="D79" s="26">
        <v>63.7</v>
      </c>
      <c r="E79" t="s">
        <v>174</v>
      </c>
    </row>
    <row r="80" spans="1:5" x14ac:dyDescent="0.4">
      <c r="A80" s="3"/>
      <c r="B80" s="25"/>
      <c r="C80" s="21" t="s">
        <v>190</v>
      </c>
      <c r="D80" s="27">
        <v>155</v>
      </c>
      <c r="E80" t="s">
        <v>175</v>
      </c>
    </row>
    <row r="81" spans="1:5" x14ac:dyDescent="0.4">
      <c r="A81" s="3"/>
      <c r="B81" s="25"/>
      <c r="C81" s="21" t="s">
        <v>191</v>
      </c>
      <c r="D81" s="27">
        <v>134</v>
      </c>
      <c r="E81" t="s">
        <v>176</v>
      </c>
    </row>
    <row r="82" spans="1:5" x14ac:dyDescent="0.4">
      <c r="A82" s="3"/>
      <c r="B82" s="25"/>
      <c r="C82" s="21" t="s">
        <v>192</v>
      </c>
      <c r="D82" s="9"/>
    </row>
    <row r="83" spans="1:5" x14ac:dyDescent="0.4">
      <c r="A83" s="3"/>
      <c r="B83" s="25"/>
      <c r="C83" s="9" t="s">
        <v>193</v>
      </c>
      <c r="D83" s="9"/>
      <c r="E83" t="s">
        <v>174</v>
      </c>
    </row>
    <row r="84" spans="1:5" x14ac:dyDescent="0.4">
      <c r="A84" s="3"/>
      <c r="B84" s="25"/>
      <c r="C84" s="9" t="s">
        <v>194</v>
      </c>
      <c r="D84" s="9" t="s">
        <v>195</v>
      </c>
    </row>
    <row r="85" spans="1:5" x14ac:dyDescent="0.4">
      <c r="A85" s="3"/>
      <c r="B85" s="25"/>
      <c r="C85" s="9"/>
      <c r="D85" s="9" t="s">
        <v>123</v>
      </c>
    </row>
    <row r="86" spans="1:5" x14ac:dyDescent="0.4">
      <c r="A86" s="3"/>
      <c r="B86" s="25"/>
      <c r="C86" s="9" t="s">
        <v>196</v>
      </c>
      <c r="D86" s="9"/>
      <c r="E86" t="s">
        <v>174</v>
      </c>
    </row>
    <row r="87" spans="1:5" x14ac:dyDescent="0.4">
      <c r="A87" s="3"/>
      <c r="B87" s="25"/>
      <c r="C87" s="9"/>
      <c r="D87" s="9"/>
    </row>
    <row r="88" spans="1:5" x14ac:dyDescent="0.4">
      <c r="A88" s="3"/>
      <c r="B88" s="25"/>
      <c r="C88" s="9" t="s">
        <v>124</v>
      </c>
      <c r="D88" s="9"/>
      <c r="E88" t="s">
        <v>91</v>
      </c>
    </row>
    <row r="89" spans="1:5" x14ac:dyDescent="0.4">
      <c r="A89" s="3"/>
      <c r="B89" s="25"/>
      <c r="C89" s="9" t="s">
        <v>125</v>
      </c>
      <c r="D89" s="9" t="s">
        <v>126</v>
      </c>
    </row>
    <row r="90" spans="1:5" x14ac:dyDescent="0.4">
      <c r="A90" s="3"/>
      <c r="B90" s="25"/>
      <c r="C90" s="9"/>
      <c r="D90" s="9" t="s">
        <v>127</v>
      </c>
    </row>
    <row r="91" spans="1:5" x14ac:dyDescent="0.4">
      <c r="A91" s="3"/>
      <c r="B91" s="25"/>
      <c r="C91" s="9"/>
      <c r="D91" s="9"/>
    </row>
    <row r="92" spans="1:5" x14ac:dyDescent="0.4">
      <c r="A92" s="3"/>
      <c r="B92" s="25"/>
      <c r="C92" s="9"/>
      <c r="D92" s="9"/>
    </row>
    <row r="93" spans="1:5" x14ac:dyDescent="0.4">
      <c r="A93" s="3"/>
      <c r="B93" s="25"/>
      <c r="C93" s="9"/>
      <c r="D93" s="9"/>
    </row>
    <row r="94" spans="1:5" x14ac:dyDescent="0.4">
      <c r="A94" s="3"/>
      <c r="B94" s="8">
        <v>3</v>
      </c>
      <c r="C94" s="21" t="s">
        <v>166</v>
      </c>
      <c r="D94" s="10" t="s">
        <v>110</v>
      </c>
    </row>
    <row r="95" spans="1:5" x14ac:dyDescent="0.4">
      <c r="A95" s="3"/>
      <c r="B95" s="8"/>
      <c r="C95" s="9"/>
      <c r="D95" s="10" t="s">
        <v>111</v>
      </c>
    </row>
    <row r="96" spans="1:5" x14ac:dyDescent="0.4">
      <c r="A96" s="3"/>
      <c r="B96" s="8"/>
      <c r="C96" s="9"/>
      <c r="D96" s="10" t="s">
        <v>112</v>
      </c>
    </row>
    <row r="97" spans="1:5" x14ac:dyDescent="0.4">
      <c r="A97" s="3"/>
      <c r="B97" s="8"/>
      <c r="C97" s="9"/>
      <c r="D97" s="10" t="s">
        <v>113</v>
      </c>
    </row>
    <row r="98" spans="1:5" x14ac:dyDescent="0.4">
      <c r="A98" s="3"/>
      <c r="B98" s="8"/>
      <c r="C98" s="9"/>
      <c r="D98" s="10" t="s">
        <v>114</v>
      </c>
    </row>
    <row r="99" spans="1:5" x14ac:dyDescent="0.4">
      <c r="A99" s="3"/>
      <c r="B99" s="8"/>
      <c r="C99" s="9"/>
      <c r="D99" s="10" t="s">
        <v>115</v>
      </c>
    </row>
    <row r="100" spans="1:5" x14ac:dyDescent="0.4">
      <c r="A100" s="3"/>
      <c r="B100" s="8"/>
      <c r="C100" s="9"/>
      <c r="D100" s="10" t="s">
        <v>116</v>
      </c>
    </row>
    <row r="101" spans="1:5" x14ac:dyDescent="0.4">
      <c r="A101" s="3"/>
      <c r="B101" s="8"/>
      <c r="C101" s="9"/>
      <c r="D101" s="10" t="s">
        <v>117</v>
      </c>
    </row>
    <row r="102" spans="1:5" x14ac:dyDescent="0.4">
      <c r="A102" s="3"/>
      <c r="B102" s="8"/>
      <c r="C102" s="9"/>
      <c r="D102" s="10" t="s">
        <v>117</v>
      </c>
    </row>
    <row r="103" spans="1:5" x14ac:dyDescent="0.4">
      <c r="A103" s="3"/>
      <c r="B103" s="8"/>
      <c r="C103" s="9"/>
      <c r="D103" s="10" t="s">
        <v>118</v>
      </c>
    </row>
    <row r="104" spans="1:5" x14ac:dyDescent="0.4">
      <c r="A104" s="3"/>
      <c r="B104" s="8"/>
      <c r="C104" s="9"/>
      <c r="D104" s="10" t="s">
        <v>119</v>
      </c>
    </row>
    <row r="105" spans="1:5" x14ac:dyDescent="0.4">
      <c r="A105" s="3"/>
      <c r="B105" s="8"/>
      <c r="C105" s="9"/>
      <c r="D105" s="10" t="s">
        <v>120</v>
      </c>
    </row>
    <row r="106" spans="1:5" x14ac:dyDescent="0.4">
      <c r="A106" s="3"/>
      <c r="B106" s="8"/>
      <c r="C106" s="9"/>
      <c r="D106" s="10" t="s">
        <v>121</v>
      </c>
    </row>
    <row r="107" spans="1:5" x14ac:dyDescent="0.4">
      <c r="A107" s="3"/>
      <c r="B107" s="8"/>
      <c r="C107" s="21" t="s">
        <v>167</v>
      </c>
      <c r="D107" s="10" t="s">
        <v>122</v>
      </c>
    </row>
    <row r="108" spans="1:5" x14ac:dyDescent="0.4">
      <c r="A108" s="3"/>
      <c r="B108" s="8"/>
      <c r="C108" s="9"/>
      <c r="D108" s="10" t="s">
        <v>123</v>
      </c>
    </row>
    <row r="109" spans="1:5" x14ac:dyDescent="0.4">
      <c r="A109" s="3"/>
      <c r="B109" s="11"/>
      <c r="C109" s="22" t="s">
        <v>168</v>
      </c>
      <c r="D109" s="13"/>
      <c r="E109" t="s">
        <v>91</v>
      </c>
    </row>
    <row r="110" spans="1:5" x14ac:dyDescent="0.4">
      <c r="A110" s="3"/>
      <c r="B110" s="16">
        <v>4</v>
      </c>
      <c r="C110" s="9" t="s">
        <v>128</v>
      </c>
      <c r="D110" s="17" t="s">
        <v>129</v>
      </c>
    </row>
    <row r="111" spans="1:5" x14ac:dyDescent="0.4">
      <c r="A111" s="3"/>
      <c r="B111" s="16"/>
      <c r="C111" s="9"/>
      <c r="D111" s="17" t="s">
        <v>130</v>
      </c>
    </row>
    <row r="112" spans="1:5" x14ac:dyDescent="0.4">
      <c r="A112" s="3"/>
      <c r="B112" s="16"/>
      <c r="C112" s="9"/>
      <c r="D112" s="17" t="s">
        <v>131</v>
      </c>
    </row>
    <row r="113" spans="1:4" x14ac:dyDescent="0.4">
      <c r="A113" s="3"/>
      <c r="B113" s="16"/>
      <c r="C113" s="9"/>
      <c r="D113" s="17" t="s">
        <v>132</v>
      </c>
    </row>
    <row r="114" spans="1:4" x14ac:dyDescent="0.4">
      <c r="A114" s="3"/>
      <c r="B114" s="16"/>
      <c r="C114" s="9"/>
      <c r="D114" s="17" t="s">
        <v>133</v>
      </c>
    </row>
    <row r="115" spans="1:4" x14ac:dyDescent="0.4">
      <c r="A115" s="3"/>
      <c r="B115" s="16"/>
      <c r="C115" s="9"/>
      <c r="D115" s="17" t="s">
        <v>134</v>
      </c>
    </row>
    <row r="116" spans="1:4" x14ac:dyDescent="0.4">
      <c r="A116" s="3"/>
      <c r="B116" s="16"/>
      <c r="C116" s="9"/>
      <c r="D116" s="17" t="s">
        <v>135</v>
      </c>
    </row>
    <row r="117" spans="1:4" x14ac:dyDescent="0.4">
      <c r="A117" s="3"/>
      <c r="B117" s="16"/>
      <c r="C117" s="9"/>
      <c r="D117" s="17" t="s">
        <v>136</v>
      </c>
    </row>
    <row r="118" spans="1:4" x14ac:dyDescent="0.4">
      <c r="A118" s="3"/>
      <c r="B118" s="16"/>
      <c r="C118" s="9"/>
      <c r="D118" s="17" t="s">
        <v>137</v>
      </c>
    </row>
    <row r="119" spans="1:4" x14ac:dyDescent="0.4">
      <c r="A119" s="3"/>
      <c r="B119" s="16"/>
      <c r="C119" s="9"/>
      <c r="D119" s="17" t="s">
        <v>138</v>
      </c>
    </row>
    <row r="120" spans="1:4" x14ac:dyDescent="0.4">
      <c r="A120" s="3"/>
      <c r="B120" s="16"/>
      <c r="C120" s="9"/>
      <c r="D120" s="17" t="s">
        <v>120</v>
      </c>
    </row>
    <row r="121" spans="1:4" x14ac:dyDescent="0.4">
      <c r="A121" s="3"/>
      <c r="B121" s="16"/>
      <c r="C121" s="9"/>
      <c r="D121" s="17" t="s">
        <v>139</v>
      </c>
    </row>
    <row r="122" spans="1:4" x14ac:dyDescent="0.4">
      <c r="A122" s="3"/>
      <c r="B122" s="16"/>
      <c r="C122" s="9" t="s">
        <v>140</v>
      </c>
      <c r="D122" s="17" t="s">
        <v>122</v>
      </c>
    </row>
    <row r="123" spans="1:4" x14ac:dyDescent="0.4">
      <c r="A123" s="3"/>
      <c r="B123" s="16"/>
      <c r="C123" s="9"/>
      <c r="D123" s="17" t="s">
        <v>123</v>
      </c>
    </row>
    <row r="124" spans="1:4" x14ac:dyDescent="0.4">
      <c r="A124" s="3"/>
      <c r="B124" s="16"/>
      <c r="C124" s="9" t="s">
        <v>141</v>
      </c>
      <c r="D124" s="17" t="s">
        <v>142</v>
      </c>
    </row>
    <row r="125" spans="1:4" x14ac:dyDescent="0.4">
      <c r="A125" s="3"/>
      <c r="B125" s="16"/>
      <c r="C125" s="9"/>
      <c r="D125" s="17" t="s">
        <v>143</v>
      </c>
    </row>
    <row r="126" spans="1:4" x14ac:dyDescent="0.4">
      <c r="A126" s="3"/>
      <c r="B126" s="16"/>
      <c r="C126" s="9" t="s">
        <v>144</v>
      </c>
      <c r="D126" s="17" t="s">
        <v>145</v>
      </c>
    </row>
    <row r="127" spans="1:4" x14ac:dyDescent="0.4">
      <c r="A127" s="3"/>
      <c r="B127" s="18"/>
      <c r="C127" s="19"/>
      <c r="D127" s="20" t="s">
        <v>146</v>
      </c>
    </row>
    <row r="128" spans="1:4" x14ac:dyDescent="0.4">
      <c r="A128" s="3"/>
      <c r="B128" s="8">
        <v>5</v>
      </c>
      <c r="C128" s="9" t="s">
        <v>147</v>
      </c>
      <c r="D128" s="10" t="s">
        <v>148</v>
      </c>
    </row>
    <row r="129" spans="1:4" x14ac:dyDescent="0.4">
      <c r="A129" s="3"/>
      <c r="B129" s="8"/>
      <c r="C129" s="9" t="s">
        <v>149</v>
      </c>
      <c r="D129" s="10" t="s">
        <v>145</v>
      </c>
    </row>
    <row r="130" spans="1:4" x14ac:dyDescent="0.4">
      <c r="A130" s="3"/>
      <c r="B130" s="8"/>
      <c r="C130" s="9"/>
      <c r="D130" s="10" t="s">
        <v>146</v>
      </c>
    </row>
    <row r="131" spans="1:4" x14ac:dyDescent="0.4">
      <c r="A131" s="3"/>
      <c r="B131" s="8"/>
      <c r="C131" s="9" t="s">
        <v>150</v>
      </c>
      <c r="D131" s="10" t="s">
        <v>151</v>
      </c>
    </row>
    <row r="132" spans="1:4" x14ac:dyDescent="0.4">
      <c r="A132" s="3"/>
      <c r="B132" s="8"/>
      <c r="C132" s="9"/>
      <c r="D132" s="10" t="s">
        <v>143</v>
      </c>
    </row>
    <row r="133" spans="1:4" x14ac:dyDescent="0.4">
      <c r="A133" s="3"/>
      <c r="B133" s="8"/>
      <c r="C133" s="9" t="s">
        <v>152</v>
      </c>
      <c r="D133" s="10" t="s">
        <v>153</v>
      </c>
    </row>
    <row r="134" spans="1:4" x14ac:dyDescent="0.4">
      <c r="A134" s="3"/>
      <c r="B134" s="8"/>
      <c r="C134" s="9"/>
      <c r="D134" s="10" t="s">
        <v>154</v>
      </c>
    </row>
    <row r="135" spans="1:4" x14ac:dyDescent="0.4">
      <c r="A135" s="3"/>
      <c r="B135" s="8"/>
      <c r="C135" s="9" t="s">
        <v>155</v>
      </c>
      <c r="D135" s="10" t="s">
        <v>122</v>
      </c>
    </row>
    <row r="136" spans="1:4" x14ac:dyDescent="0.4">
      <c r="A136" s="3"/>
      <c r="B136" s="8"/>
      <c r="C136" s="9"/>
      <c r="D136" s="10" t="s">
        <v>156</v>
      </c>
    </row>
    <row r="137" spans="1:4" x14ac:dyDescent="0.4">
      <c r="A137" s="3"/>
      <c r="B137" s="8"/>
      <c r="C137" s="9"/>
      <c r="D137" s="10" t="s">
        <v>157</v>
      </c>
    </row>
    <row r="138" spans="1:4" x14ac:dyDescent="0.4">
      <c r="A138" s="3"/>
      <c r="B138" s="8"/>
      <c r="C138" s="9" t="s">
        <v>158</v>
      </c>
      <c r="D138" s="10" t="s">
        <v>122</v>
      </c>
    </row>
    <row r="139" spans="1:4" x14ac:dyDescent="0.4">
      <c r="A139" s="3"/>
      <c r="B139" s="11"/>
      <c r="C139" s="12"/>
      <c r="D139" s="13" t="s">
        <v>123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A753-7803-4E97-A16D-668234E35537}">
  <sheetPr codeName="Sheet21"/>
  <dimension ref="A1:G31"/>
  <sheetViews>
    <sheetView tabSelected="1" workbookViewId="0">
      <selection activeCell="E31" sqref="E31"/>
    </sheetView>
  </sheetViews>
  <sheetFormatPr defaultRowHeight="16.5" x14ac:dyDescent="0.4"/>
  <cols>
    <col min="1" max="1" width="9" style="60"/>
    <col min="2" max="2" width="21.25" style="2" customWidth="1"/>
    <col min="3" max="3" width="33" style="2" bestFit="1" customWidth="1"/>
    <col min="4" max="4" width="33" style="2" customWidth="1"/>
    <col min="5" max="5" width="46.375" style="2" bestFit="1" customWidth="1"/>
    <col min="6" max="6" width="132.5" style="2" customWidth="1"/>
    <col min="7" max="7" width="21.25" style="2" customWidth="1"/>
    <col min="8" max="16384" width="9" style="2"/>
  </cols>
  <sheetData>
    <row r="1" spans="1:7" x14ac:dyDescent="0.4">
      <c r="A1" s="2" t="s">
        <v>226</v>
      </c>
      <c r="B1" s="2" t="s">
        <v>221</v>
      </c>
      <c r="C1" s="2" t="s">
        <v>228</v>
      </c>
      <c r="D1" s="2" t="s">
        <v>239</v>
      </c>
      <c r="E1" s="2" t="s">
        <v>222</v>
      </c>
      <c r="F1" s="2" t="s">
        <v>229</v>
      </c>
      <c r="G1" s="2" t="s">
        <v>223</v>
      </c>
    </row>
    <row r="2" spans="1:7" x14ac:dyDescent="0.4">
      <c r="A2" s="60">
        <f>ROW()-1</f>
        <v>1</v>
      </c>
      <c r="B2" s="2" t="str">
        <f>'option-elements'!A2</f>
        <v>1.基本情報</v>
      </c>
      <c r="C2" s="2" t="str">
        <f>'option-elements'!C2</f>
        <v>基本01_住宅タイプの名称</v>
      </c>
      <c r="D2" s="2" t="s">
        <v>240</v>
      </c>
      <c r="E2" s="2" t="str">
        <f>'option-elements'!D2</f>
        <v>○○○○邸</v>
      </c>
      <c r="F2" s="2" t="s">
        <v>238</v>
      </c>
      <c r="G2" s="2" t="s">
        <v>224</v>
      </c>
    </row>
    <row r="3" spans="1:7" x14ac:dyDescent="0.4">
      <c r="A3" s="60">
        <f t="shared" ref="A3:A27" si="0">ROW()-1</f>
        <v>2</v>
      </c>
      <c r="B3" s="2" t="str">
        <f>'option-elements'!A3</f>
        <v>1.基本情報</v>
      </c>
      <c r="C3" s="2" t="str">
        <f>'option-elements'!C3</f>
        <v>基本02_入力責任者</v>
      </c>
      <c r="D3" s="2" t="s">
        <v>241</v>
      </c>
      <c r="E3" s="2" t="str">
        <f>'option-elements'!D3</f>
        <v>三菱太郎</v>
      </c>
      <c r="F3" s="2" t="s">
        <v>238</v>
      </c>
      <c r="G3" s="2" t="s">
        <v>224</v>
      </c>
    </row>
    <row r="4" spans="1:7" x14ac:dyDescent="0.4">
      <c r="A4" s="60">
        <f t="shared" si="0"/>
        <v>3</v>
      </c>
      <c r="B4" s="2" t="str">
        <f>'option-elements'!A4</f>
        <v>1.基本情報</v>
      </c>
      <c r="C4" s="2" t="str">
        <f>'option-elements'!C4</f>
        <v>基本03_住宅の建て方</v>
      </c>
      <c r="D4" s="2" t="s">
        <v>242</v>
      </c>
      <c r="E4" s="2" t="str">
        <f>'option-elements'!D4</f>
        <v>戸建住宅</v>
      </c>
      <c r="F4" s="2" t="s">
        <v>238</v>
      </c>
      <c r="G4" s="2" t="s">
        <v>224</v>
      </c>
    </row>
    <row r="5" spans="1:7" x14ac:dyDescent="0.4">
      <c r="A5" s="60">
        <f t="shared" si="0"/>
        <v>4</v>
      </c>
      <c r="B5" s="2" t="str">
        <f>'option-elements'!A5</f>
        <v>1.基本情報</v>
      </c>
      <c r="C5" s="2" t="str">
        <f>'option-elements'!C5</f>
        <v>基本03_住宅の建て方</v>
      </c>
      <c r="D5" s="2" t="s">
        <v>242</v>
      </c>
      <c r="E5" s="2" t="str">
        <f>'option-elements'!D5</f>
        <v>共同住宅</v>
      </c>
      <c r="F5" s="2" t="s">
        <v>238</v>
      </c>
      <c r="G5" s="2" t="s">
        <v>224</v>
      </c>
    </row>
    <row r="6" spans="1:7" s="64" customFormat="1" x14ac:dyDescent="0.4">
      <c r="A6" s="62">
        <f t="shared" si="0"/>
        <v>5</v>
      </c>
      <c r="B6" s="63" t="str">
        <f>'option-elements'!A6</f>
        <v>1.基本情報</v>
      </c>
      <c r="C6" s="63" t="str">
        <f>'option-elements'!C6</f>
        <v>基本04_住戸の評価方法</v>
      </c>
      <c r="D6" s="2" t="s">
        <v>243</v>
      </c>
      <c r="E6" s="63" t="str">
        <f>'option-elements'!D6</f>
        <v>住戸全体を対象に評価する</v>
      </c>
      <c r="F6" s="2" t="s">
        <v>238</v>
      </c>
      <c r="G6" s="63" t="s">
        <v>224</v>
      </c>
    </row>
    <row r="7" spans="1:7" s="64" customFormat="1" x14ac:dyDescent="0.4">
      <c r="A7" s="62">
        <f t="shared" si="0"/>
        <v>6</v>
      </c>
      <c r="B7" s="63" t="str">
        <f>'option-elements'!A7</f>
        <v>1.基本情報</v>
      </c>
      <c r="C7" s="63" t="str">
        <f>'option-elements'!C7</f>
        <v>基本04_住戸の評価方法</v>
      </c>
      <c r="D7" s="2" t="s">
        <v>243</v>
      </c>
      <c r="E7" s="63" t="str">
        <f>'option-elements'!D7</f>
        <v>増改築部分を対象に評価する</v>
      </c>
      <c r="F7" s="2" t="s">
        <v>238</v>
      </c>
      <c r="G7" s="63" t="s">
        <v>224</v>
      </c>
    </row>
    <row r="8" spans="1:7" x14ac:dyDescent="0.4">
      <c r="A8" s="60">
        <f t="shared" si="0"/>
        <v>7</v>
      </c>
      <c r="B8" s="2" t="str">
        <f>'option-elements'!A8</f>
        <v>1.基本情報</v>
      </c>
      <c r="C8" s="2" t="str">
        <f>'option-elements'!C8</f>
        <v>基本05_居室の構成</v>
      </c>
      <c r="D8" s="2" t="s">
        <v>244</v>
      </c>
      <c r="E8" s="2" t="str">
        <f>'option-elements'!D8</f>
        <v>主たる居室とその他の居室、非居室で構成される</v>
      </c>
      <c r="F8" s="2" t="s">
        <v>238</v>
      </c>
      <c r="G8" s="2" t="s">
        <v>224</v>
      </c>
    </row>
    <row r="9" spans="1:7" x14ac:dyDescent="0.4">
      <c r="A9" s="60">
        <f t="shared" si="0"/>
        <v>8</v>
      </c>
      <c r="B9" s="2" t="str">
        <f>'option-elements'!A9</f>
        <v>1.基本情報</v>
      </c>
      <c r="C9" s="2" t="str">
        <f>'option-elements'!C9</f>
        <v>基本05_居室の構成</v>
      </c>
      <c r="D9" s="2" t="s">
        <v>244</v>
      </c>
      <c r="E9" s="2" t="str">
        <f>'option-elements'!D9</f>
        <v>上記以外の構成</v>
      </c>
      <c r="F9" s="2" t="s">
        <v>238</v>
      </c>
      <c r="G9" s="2" t="s">
        <v>224</v>
      </c>
    </row>
    <row r="10" spans="1:7" x14ac:dyDescent="0.4">
      <c r="A10" s="60">
        <f t="shared" si="0"/>
        <v>9</v>
      </c>
      <c r="B10" s="2" t="str">
        <f>'option-elements'!A10</f>
        <v>1.基本情報</v>
      </c>
      <c r="C10" s="2" t="str">
        <f>'option-elements'!C10</f>
        <v>基本06_床面積</v>
      </c>
      <c r="D10" s="2" t="s">
        <v>245</v>
      </c>
      <c r="E10" s="2" t="str">
        <f>'option-elements'!D10</f>
        <v>主たる居室</v>
      </c>
      <c r="F10" s="2" t="s">
        <v>238</v>
      </c>
      <c r="G10" s="2" t="s">
        <v>224</v>
      </c>
    </row>
    <row r="11" spans="1:7" x14ac:dyDescent="0.4">
      <c r="A11" s="60">
        <f t="shared" si="0"/>
        <v>10</v>
      </c>
      <c r="B11" s="2" t="str">
        <f>'option-elements'!A11</f>
        <v>1.基本情報</v>
      </c>
      <c r="C11" s="2" t="str">
        <f>'option-elements'!C11</f>
        <v>基本06_床面積</v>
      </c>
      <c r="D11" s="2" t="s">
        <v>245</v>
      </c>
      <c r="E11" s="2" t="str">
        <f>'option-elements'!D11</f>
        <v>その他の居室</v>
      </c>
      <c r="F11" s="2" t="s">
        <v>238</v>
      </c>
      <c r="G11" s="2" t="s">
        <v>224</v>
      </c>
    </row>
    <row r="12" spans="1:7" x14ac:dyDescent="0.4">
      <c r="A12" s="60">
        <f t="shared" si="0"/>
        <v>11</v>
      </c>
      <c r="B12" s="2" t="str">
        <f>'option-elements'!A12</f>
        <v>1.基本情報</v>
      </c>
      <c r="C12" s="2" t="str">
        <f>'option-elements'!C12</f>
        <v>基本06_床面積</v>
      </c>
      <c r="D12" s="2" t="s">
        <v>245</v>
      </c>
      <c r="E12" s="2" t="str">
        <f>'option-elements'!D12</f>
        <v>合計</v>
      </c>
      <c r="F12" s="2" t="s">
        <v>238</v>
      </c>
      <c r="G12" s="2" t="s">
        <v>224</v>
      </c>
    </row>
    <row r="13" spans="1:7" x14ac:dyDescent="0.4">
      <c r="A13" s="60">
        <f t="shared" si="0"/>
        <v>12</v>
      </c>
      <c r="B13" s="2" t="str">
        <f>'option-elements'!A13</f>
        <v>1.基本情報</v>
      </c>
      <c r="C13" s="2" t="str">
        <f>'option-elements'!C13</f>
        <v>基本07_地域の区分</v>
      </c>
      <c r="D13" s="2" t="s">
        <v>246</v>
      </c>
      <c r="E13" s="2" t="str">
        <f>'option-elements'!D13</f>
        <v>1地域</v>
      </c>
      <c r="F13" s="2" t="s">
        <v>238</v>
      </c>
      <c r="G13" s="2" t="s">
        <v>224</v>
      </c>
    </row>
    <row r="14" spans="1:7" x14ac:dyDescent="0.4">
      <c r="A14" s="60">
        <f t="shared" si="0"/>
        <v>13</v>
      </c>
      <c r="B14" s="2" t="str">
        <f>'option-elements'!A14</f>
        <v>1.基本情報</v>
      </c>
      <c r="C14" s="2" t="str">
        <f>'option-elements'!C14</f>
        <v>基本07_地域の区分</v>
      </c>
      <c r="D14" s="2" t="s">
        <v>246</v>
      </c>
      <c r="E14" s="2" t="str">
        <f>'option-elements'!D14</f>
        <v>2地域</v>
      </c>
      <c r="F14" s="2" t="s">
        <v>238</v>
      </c>
      <c r="G14" s="2" t="s">
        <v>224</v>
      </c>
    </row>
    <row r="15" spans="1:7" x14ac:dyDescent="0.4">
      <c r="A15" s="60">
        <f t="shared" si="0"/>
        <v>14</v>
      </c>
      <c r="B15" s="2" t="str">
        <f>'option-elements'!A15</f>
        <v>1.基本情報</v>
      </c>
      <c r="C15" s="2" t="str">
        <f>'option-elements'!C15</f>
        <v>基本07_地域の区分</v>
      </c>
      <c r="D15" s="2" t="s">
        <v>246</v>
      </c>
      <c r="E15" s="2" t="str">
        <f>'option-elements'!D15</f>
        <v>3地域</v>
      </c>
      <c r="F15" s="2" t="s">
        <v>238</v>
      </c>
      <c r="G15" s="2" t="s">
        <v>224</v>
      </c>
    </row>
    <row r="16" spans="1:7" x14ac:dyDescent="0.4">
      <c r="A16" s="60">
        <f t="shared" si="0"/>
        <v>15</v>
      </c>
      <c r="B16" s="2" t="str">
        <f>'option-elements'!A16</f>
        <v>1.基本情報</v>
      </c>
      <c r="C16" s="2" t="str">
        <f>'option-elements'!C16</f>
        <v>基本07_地域の区分</v>
      </c>
      <c r="D16" s="2" t="s">
        <v>246</v>
      </c>
      <c r="E16" s="2" t="str">
        <f>'option-elements'!D16</f>
        <v>4地域</v>
      </c>
      <c r="F16" s="2" t="s">
        <v>238</v>
      </c>
      <c r="G16" s="2" t="s">
        <v>224</v>
      </c>
    </row>
    <row r="17" spans="1:7" x14ac:dyDescent="0.4">
      <c r="A17" s="60">
        <f t="shared" si="0"/>
        <v>16</v>
      </c>
      <c r="B17" s="2" t="str">
        <f>'option-elements'!A17</f>
        <v>1.基本情報</v>
      </c>
      <c r="C17" s="2" t="str">
        <f>'option-elements'!C17</f>
        <v>基本07_地域の区分</v>
      </c>
      <c r="D17" s="2" t="s">
        <v>246</v>
      </c>
      <c r="E17" s="2" t="str">
        <f>'option-elements'!D17</f>
        <v>5地域</v>
      </c>
      <c r="F17" s="2" t="s">
        <v>238</v>
      </c>
      <c r="G17" s="2" t="s">
        <v>224</v>
      </c>
    </row>
    <row r="18" spans="1:7" x14ac:dyDescent="0.4">
      <c r="A18" s="60">
        <f t="shared" si="0"/>
        <v>17</v>
      </c>
      <c r="B18" s="2" t="str">
        <f>'option-elements'!A18</f>
        <v>1.基本情報</v>
      </c>
      <c r="C18" s="2" t="str">
        <f>'option-elements'!C18</f>
        <v>基本07_地域の区分</v>
      </c>
      <c r="D18" s="2" t="s">
        <v>246</v>
      </c>
      <c r="E18" s="2" t="str">
        <f>'option-elements'!D18</f>
        <v>6地域</v>
      </c>
      <c r="F18" s="2" t="s">
        <v>238</v>
      </c>
      <c r="G18" s="2" t="s">
        <v>224</v>
      </c>
    </row>
    <row r="19" spans="1:7" x14ac:dyDescent="0.4">
      <c r="A19" s="60">
        <f t="shared" si="0"/>
        <v>18</v>
      </c>
      <c r="B19" s="2" t="str">
        <f>'option-elements'!A19</f>
        <v>1.基本情報</v>
      </c>
      <c r="C19" s="2" t="str">
        <f>'option-elements'!C19</f>
        <v>基本07_地域の区分</v>
      </c>
      <c r="D19" s="2" t="s">
        <v>246</v>
      </c>
      <c r="E19" s="2" t="str">
        <f>'option-elements'!D19</f>
        <v>7地域</v>
      </c>
      <c r="F19" s="2" t="s">
        <v>238</v>
      </c>
      <c r="G19" s="2" t="s">
        <v>224</v>
      </c>
    </row>
    <row r="20" spans="1:7" x14ac:dyDescent="0.4">
      <c r="A20" s="60">
        <f t="shared" si="0"/>
        <v>19</v>
      </c>
      <c r="B20" s="2" t="str">
        <f>'option-elements'!A20</f>
        <v>1.基本情報</v>
      </c>
      <c r="C20" s="2" t="str">
        <f>'option-elements'!C20</f>
        <v>基本07_地域の区分</v>
      </c>
      <c r="D20" s="2" t="s">
        <v>246</v>
      </c>
      <c r="E20" s="2" t="str">
        <f>'option-elements'!D20</f>
        <v>8地域</v>
      </c>
      <c r="F20" s="2" t="s">
        <v>238</v>
      </c>
      <c r="G20" s="2" t="s">
        <v>224</v>
      </c>
    </row>
    <row r="21" spans="1:7" x14ac:dyDescent="0.4">
      <c r="A21" s="60">
        <f t="shared" si="0"/>
        <v>20</v>
      </c>
      <c r="B21" s="2" t="str">
        <f>'option-elements'!A21</f>
        <v>1.基本情報</v>
      </c>
      <c r="C21" s="2" t="str">
        <f>'option-elements'!C21</f>
        <v>基本08_年間の日射地域区分の指定</v>
      </c>
      <c r="D21" s="2" t="s">
        <v>247</v>
      </c>
      <c r="E21" s="2" t="str">
        <f>'option-elements'!D21</f>
        <v>指定しない</v>
      </c>
      <c r="F21" s="2" t="s">
        <v>238</v>
      </c>
      <c r="G21" s="2" t="s">
        <v>224</v>
      </c>
    </row>
    <row r="22" spans="1:7" x14ac:dyDescent="0.4">
      <c r="A22" s="60">
        <f t="shared" si="0"/>
        <v>21</v>
      </c>
      <c r="B22" s="2" t="str">
        <f>'option-elements'!A22</f>
        <v>1.基本情報</v>
      </c>
      <c r="C22" s="2" t="str">
        <f>'option-elements'!C22</f>
        <v>基本08_年間の日射地域区分の指定</v>
      </c>
      <c r="D22" s="2" t="s">
        <v>247</v>
      </c>
      <c r="E22" s="2" t="str">
        <f>'option-elements'!D22</f>
        <v>指定する</v>
      </c>
      <c r="F22" s="2" t="s">
        <v>238</v>
      </c>
      <c r="G22" s="2" t="s">
        <v>224</v>
      </c>
    </row>
    <row r="23" spans="1:7" x14ac:dyDescent="0.4">
      <c r="A23" s="60">
        <f t="shared" si="0"/>
        <v>22</v>
      </c>
      <c r="B23" s="2" t="str">
        <f>'option-elements'!A23</f>
        <v>1.基本情報</v>
      </c>
      <c r="C23" s="2" t="str">
        <f>'option-elements'!C23</f>
        <v>基本09_年間の日射地域区分</v>
      </c>
      <c r="D23" s="2" t="s">
        <v>248</v>
      </c>
      <c r="E23" s="2" t="str">
        <f>'option-elements'!D23</f>
        <v>A1区分（年間の日射量が特に少ない地域）</v>
      </c>
      <c r="F23" s="2" t="s">
        <v>238</v>
      </c>
      <c r="G23" s="2" t="s">
        <v>224</v>
      </c>
    </row>
    <row r="24" spans="1:7" x14ac:dyDescent="0.4">
      <c r="A24" s="60">
        <f t="shared" si="0"/>
        <v>23</v>
      </c>
      <c r="B24" s="2" t="str">
        <f>'option-elements'!A24</f>
        <v>1.基本情報</v>
      </c>
      <c r="C24" s="2" t="str">
        <f>'option-elements'!C24</f>
        <v>基本09_年間の日射地域区分</v>
      </c>
      <c r="D24" s="2" t="s">
        <v>248</v>
      </c>
      <c r="E24" s="2" t="str">
        <f>'option-elements'!D24</f>
        <v>A2区分（年間の日射量が少ない地域）</v>
      </c>
      <c r="F24" s="2" t="s">
        <v>238</v>
      </c>
      <c r="G24" s="2" t="s">
        <v>224</v>
      </c>
    </row>
    <row r="25" spans="1:7" x14ac:dyDescent="0.4">
      <c r="A25" s="60">
        <f t="shared" si="0"/>
        <v>24</v>
      </c>
      <c r="B25" s="2" t="str">
        <f>'option-elements'!A25</f>
        <v>1.基本情報</v>
      </c>
      <c r="C25" s="2" t="str">
        <f>'option-elements'!C25</f>
        <v>基本09_年間の日射地域区分</v>
      </c>
      <c r="D25" s="2" t="s">
        <v>248</v>
      </c>
      <c r="E25" s="2" t="str">
        <f>'option-elements'!D25</f>
        <v>A3区分（年間の日射量が中程度の地域）</v>
      </c>
      <c r="F25" s="2" t="s">
        <v>238</v>
      </c>
      <c r="G25" s="2" t="s">
        <v>224</v>
      </c>
    </row>
    <row r="26" spans="1:7" x14ac:dyDescent="0.4">
      <c r="A26" s="60">
        <f t="shared" si="0"/>
        <v>25</v>
      </c>
      <c r="B26" s="2" t="str">
        <f>'option-elements'!A26</f>
        <v>1.基本情報</v>
      </c>
      <c r="C26" s="2" t="str">
        <f>'option-elements'!C26</f>
        <v>基本09_年間の日射地域区分</v>
      </c>
      <c r="D26" s="2" t="s">
        <v>248</v>
      </c>
      <c r="E26" s="2" t="str">
        <f>'option-elements'!D26</f>
        <v>A4区分（年間の日射量が多い地域）</v>
      </c>
      <c r="F26" s="2" t="s">
        <v>238</v>
      </c>
      <c r="G26" s="2" t="s">
        <v>224</v>
      </c>
    </row>
    <row r="27" spans="1:7" x14ac:dyDescent="0.4">
      <c r="A27" s="60">
        <f t="shared" si="0"/>
        <v>26</v>
      </c>
      <c r="B27" s="2" t="str">
        <f>'option-elements'!A27</f>
        <v>1.基本情報</v>
      </c>
      <c r="C27" s="2" t="str">
        <f>'option-elements'!C27</f>
        <v>基本09_年間の日射地域区分</v>
      </c>
      <c r="D27" s="2" t="s">
        <v>248</v>
      </c>
      <c r="E27" s="2" t="str">
        <f>'option-elements'!D27</f>
        <v>A5区分（年間の日射量が特に多い地域）</v>
      </c>
      <c r="F27" s="2" t="s">
        <v>237</v>
      </c>
      <c r="G27" s="2" t="s">
        <v>224</v>
      </c>
    </row>
    <row r="31" spans="1:7" x14ac:dyDescent="0.4">
      <c r="F31" s="2" t="s">
        <v>236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623CC-B8A1-476B-AF38-E7CC4E0885A4}">
  <sheetPr codeName="Sheet23"/>
  <dimension ref="B2:G13"/>
  <sheetViews>
    <sheetView workbookViewId="0"/>
  </sheetViews>
  <sheetFormatPr defaultRowHeight="16.5" x14ac:dyDescent="0.4"/>
  <cols>
    <col min="1" max="1" width="9" style="1"/>
    <col min="2" max="2" width="11" style="1" bestFit="1" customWidth="1"/>
    <col min="3" max="3" width="10.875" style="1" bestFit="1" customWidth="1"/>
    <col min="4" max="4" width="30.25" style="1" bestFit="1" customWidth="1"/>
    <col min="5" max="16384" width="9" style="1"/>
  </cols>
  <sheetData>
    <row r="2" spans="2:7" x14ac:dyDescent="0.4">
      <c r="B2" s="1" t="s">
        <v>9</v>
      </c>
      <c r="C2" s="1" t="s">
        <v>10</v>
      </c>
      <c r="D2" s="1" t="s">
        <v>11</v>
      </c>
    </row>
    <row r="4" spans="2:7" x14ac:dyDescent="0.4">
      <c r="C4" s="1" t="s">
        <v>23</v>
      </c>
      <c r="F4" s="1" t="s">
        <v>12</v>
      </c>
    </row>
    <row r="5" spans="2:7" x14ac:dyDescent="0.4">
      <c r="C5" s="1" t="s">
        <v>24</v>
      </c>
      <c r="F5" s="1" t="s">
        <v>14</v>
      </c>
    </row>
    <row r="6" spans="2:7" x14ac:dyDescent="0.4">
      <c r="C6" s="1" t="s">
        <v>25</v>
      </c>
      <c r="F6" s="1" t="s">
        <v>13</v>
      </c>
    </row>
    <row r="7" spans="2:7" x14ac:dyDescent="0.4">
      <c r="C7" s="1" t="s">
        <v>26</v>
      </c>
      <c r="F7" s="1" t="s">
        <v>15</v>
      </c>
    </row>
    <row r="8" spans="2:7" x14ac:dyDescent="0.4">
      <c r="C8" s="1" t="s">
        <v>27</v>
      </c>
      <c r="F8" s="1" t="s">
        <v>16</v>
      </c>
      <c r="G8" s="1" t="s">
        <v>17</v>
      </c>
    </row>
    <row r="9" spans="2:7" x14ac:dyDescent="0.4">
      <c r="C9" s="1" t="s">
        <v>28</v>
      </c>
      <c r="F9" s="1" t="s">
        <v>18</v>
      </c>
    </row>
    <row r="10" spans="2:7" x14ac:dyDescent="0.4">
      <c r="C10" s="1" t="s">
        <v>29</v>
      </c>
      <c r="F10" s="1" t="s">
        <v>19</v>
      </c>
    </row>
    <row r="11" spans="2:7" x14ac:dyDescent="0.4">
      <c r="C11" s="1" t="s">
        <v>30</v>
      </c>
      <c r="F11" s="1" t="s">
        <v>20</v>
      </c>
    </row>
    <row r="12" spans="2:7" x14ac:dyDescent="0.4">
      <c r="C12" s="1" t="s">
        <v>31</v>
      </c>
      <c r="F12" s="1" t="s">
        <v>22</v>
      </c>
    </row>
    <row r="13" spans="2:7" x14ac:dyDescent="0.4">
      <c r="C13" s="1" t="s">
        <v>32</v>
      </c>
      <c r="F13" s="1" t="s">
        <v>21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593E-2613-4945-8FBA-FA3FBAD0B2C2}">
  <sheetPr codeName="Sheet12"/>
  <dimension ref="B2:G6"/>
  <sheetViews>
    <sheetView workbookViewId="0">
      <selection activeCell="F7" sqref="F7"/>
    </sheetView>
  </sheetViews>
  <sheetFormatPr defaultRowHeight="18.75" x14ac:dyDescent="0.4"/>
  <sheetData>
    <row r="2" spans="2:7" x14ac:dyDescent="0.4">
      <c r="B2" t="s">
        <v>230</v>
      </c>
    </row>
    <row r="3" spans="2:7" x14ac:dyDescent="0.4">
      <c r="C3" t="s">
        <v>231</v>
      </c>
    </row>
    <row r="4" spans="2:7" x14ac:dyDescent="0.4">
      <c r="D4" t="s">
        <v>232</v>
      </c>
      <c r="G4" t="s">
        <v>235</v>
      </c>
    </row>
    <row r="5" spans="2:7" x14ac:dyDescent="0.4">
      <c r="D5" t="s">
        <v>233</v>
      </c>
    </row>
    <row r="6" spans="2:7" x14ac:dyDescent="0.4">
      <c r="D6" t="s">
        <v>234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15</vt:i4>
      </vt:variant>
    </vt:vector>
  </HeadingPairs>
  <TitlesOfParts>
    <vt:vector size="31" baseType="lpstr">
      <vt:lpstr>操作</vt:lpstr>
      <vt:lpstr>1.基本情報</vt:lpstr>
      <vt:lpstr>2.外皮</vt:lpstr>
      <vt:lpstr>3.暖房</vt:lpstr>
      <vt:lpstr>4.冷房</vt:lpstr>
      <vt:lpstr>5.換気</vt:lpstr>
      <vt:lpstr>6.熱交換</vt:lpstr>
      <vt:lpstr>7.給湯</vt:lpstr>
      <vt:lpstr>8.照明</vt:lpstr>
      <vt:lpstr>9.太陽光</vt:lpstr>
      <vt:lpstr>10.太陽熱</vt:lpstr>
      <vt:lpstr>11.コージェネ</vt:lpstr>
      <vt:lpstr>option-elements</vt:lpstr>
      <vt:lpstr>Rules</vt:lpstr>
      <vt:lpstr>用語</vt:lpstr>
      <vt:lpstr>予備</vt:lpstr>
      <vt:lpstr>trg_床面積_その他の居室</vt:lpstr>
      <vt:lpstr>trg_床面積_合計</vt:lpstr>
      <vt:lpstr>trg_床面積_主たる居室</vt:lpstr>
      <vt:lpstr>trg_地域の区分</vt:lpstr>
      <vt:lpstr>trg_年間の日射地域区分</vt:lpstr>
      <vt:lpstr>trg_年間の日射地域区分の指定</vt:lpstr>
      <vt:lpstr>基本01_住宅タイプの名称</vt:lpstr>
      <vt:lpstr>基本02_入力責任者</vt:lpstr>
      <vt:lpstr>基本03_住宅の建て方</vt:lpstr>
      <vt:lpstr>基本04_住戸の評価方法</vt:lpstr>
      <vt:lpstr>基本05_居室の構成</vt:lpstr>
      <vt:lpstr>基本06_床面積</vt:lpstr>
      <vt:lpstr>基本07_地域の区分</vt:lpstr>
      <vt:lpstr>基本08_年間の日射地域区分の指定</vt:lpstr>
      <vt:lpstr>基本09_年間の日射地域区分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YAMADA KOUICHI/山田 幸一(ＭＥＥ/和事/DS・マニュアル制作2G)</dc:creator>
  <cp:lastModifiedBy>YAMADA KOUICHI/山田 幸一(ＭＥＥ/和事/DS・マニュアル制作2G)</cp:lastModifiedBy>
  <dcterms:created xsi:type="dcterms:W3CDTF">2025-10-07T00:11:15Z</dcterms:created>
  <dcterms:modified xsi:type="dcterms:W3CDTF">2026-05-15T10:02:55Z</dcterms:modified>
</cp:coreProperties>
</file>
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D:\42_★電住家\29_住宅省エネ効果試算ツール\"/>
    </mc:Choice>
  </mc:AlternateContent>
  <xr:revisionPtr revIDLastSave="0" documentId="13_ncr:1_{BD164371-0875-4B4F-AAD1-2D23B599C1A6}" xr6:coauthVersionLast="47" xr6:coauthVersionMax="47" xr10:uidLastSave="{00000000-0000-0000-0000-000000000000}"/>
  <bookViews>
    <workbookView xWindow="-2280" yWindow="150" windowWidth="50970" windowHeight="16590" tabRatio="843" firstSheet="1" activeTab="9" xr2:uid="{BF68B218-340A-4FE8-8A80-15E15AD0F5B0}"/>
    <workbookView xWindow="-105" yWindow="225" windowWidth="29010" windowHeight="17160" tabRatio="737" firstSheet="11" activeTab="11" xr2:uid="{982394EE-073D-40DF-9A52-087A5F06AC5D}"/>
  </bookViews>
  <sheets>
    <sheet name="01_基本情報" sheetId="4" r:id="rId1"/>
    <sheet name="02_外皮" sheetId="7" r:id="rId2"/>
    <sheet name="03_暖房" sheetId="8" r:id="rId3"/>
    <sheet name="04_冷房" sheetId="9" r:id="rId4"/>
    <sheet name="05_換気" sheetId="10" r:id="rId5"/>
    <sheet name="06_熱交換" sheetId="16" r:id="rId6"/>
    <sheet name="07_給湯" sheetId="17" r:id="rId7"/>
    <sheet name="08_照明" sheetId="18" r:id="rId8"/>
    <sheet name="09_太陽光" sheetId="19" r:id="rId9"/>
    <sheet name="10_太陽熱" sheetId="20" r:id="rId10"/>
    <sheet name="11_コージェネ" sheetId="21" r:id="rId11"/>
    <sheet name="option-elements" sheetId="6" r:id="rId12"/>
    <sheet name="Rules" sheetId="12" r:id="rId13"/>
    <sheet name="用語" sheetId="3" r:id="rId14"/>
    <sheet name="予備" sheetId="15" r:id="rId15"/>
    <sheet name="忘備録" sheetId="22" r:id="rId16"/>
    <sheet name="工程計画" sheetId="23" r:id="rId17"/>
  </sheets>
  <functionGroups builtInGroupCount="19"/>
  <definedNames>
    <definedName name="VAV方式">"冷房_VAV方式"</definedName>
    <definedName name="エネルギー消費効率の入力_その他の居室">"冷房_エネルギー消費効率の入力_その他の居室"</definedName>
    <definedName name="エネルギー消費効率の入力_主たる居室">"冷房_エネルギー消費効率の入力_主たる居室"</definedName>
    <definedName name="その他の冷房設備機器の名称_その他の居室">"冷房_その他の冷房設備機器の名称_その他の居室"</definedName>
    <definedName name="その他の冷房設備機器の名称_主たる居室">"冷房_その他の冷房設備機器の名称_主たる居室"</definedName>
    <definedName name="ダクトが通過する空間">"冷房_ダクトが通過する空間"</definedName>
    <definedName name="外皮_外気が経由する床下の面積の割合">'option-elements'!$D$53:$D$62</definedName>
    <definedName name="外皮_外皮性能の評価方法">'option-elements'!$D$32:$D$35</definedName>
    <definedName name="外皮_外皮平均熱貫流率">'option-elements'!$D$37:$D$38</definedName>
    <definedName name="外皮_外皮面積の合計">'option-elements'!$D$36</definedName>
    <definedName name="外皮_床下空間の断熱">'option-elements'!$D$63:$D$64</definedName>
    <definedName name="外皮_床下空間を経由して外気を導入する換気方式の利用">'option-elements'!$D$51:$D$52</definedName>
    <definedName name="外皮_暖房期の平均日射熱取得率">'option-elements'!$D$41:$D$42</definedName>
    <definedName name="外皮_蓄熱の利用">'option-elements'!$D$49:$D$50</definedName>
    <definedName name="外皮_通風の利用_その他の居室">'option-elements'!$D$46:$D$48</definedName>
    <definedName name="外皮_通風の利用_主たる居室">'option-elements'!$D$43:$D$45</definedName>
    <definedName name="外皮_冷房期の平均日射熱取得率">'option-elements'!$D$39:$D$40</definedName>
    <definedName name="外皮01">'02_外皮'!$C$2</definedName>
    <definedName name="外皮02">'02_外皮'!$C$3</definedName>
    <definedName name="外皮03">'02_外皮'!$C$4</definedName>
    <definedName name="外皮04">'02_外皮'!$C$5</definedName>
    <definedName name="外皮05">'02_外皮'!$C$6</definedName>
    <definedName name="外皮06">'02_外皮'!$C$7</definedName>
    <definedName name="外皮07">'02_外皮'!$C$8</definedName>
    <definedName name="外皮08">'02_外皮'!$C$9</definedName>
    <definedName name="外皮09">'02_外皮'!$C$10</definedName>
    <definedName name="外皮10">'02_外皮'!$C$11</definedName>
    <definedName name="外皮11">'02_外皮'!$C$12</definedName>
    <definedName name="換気_温度交換効率">'option-elements'!$D$270</definedName>
    <definedName name="換気_温度交換効率の補正係数の入力">'option-elements'!$D$271:$D$272</definedName>
    <definedName name="換気_換気回数">'option-elements'!$D$262:$D$264</definedName>
    <definedName name="換気_換気設備の方式">'option-elements'!$D$251:$D$255</definedName>
    <definedName name="換気_給気と排気の比率による温度交換効率の補正係数">'option-elements'!$D$273</definedName>
    <definedName name="換気_省エネルギー手法">'option-elements'!$D$259:$D$260</definedName>
    <definedName name="換気_第一種換気設備の有効換気量率">'option-elements'!$D$267</definedName>
    <definedName name="換気_第一種換気設備の有効換気量率の入力">'option-elements'!$D$265:$D$266</definedName>
    <definedName name="換気_熱交換型換気設備">'option-elements'!$D$268:$D$269</definedName>
    <definedName name="換気_排気過多時における住宅外皮経由の漏気による温度交換効率の補正係数">'option-elements'!$D$274</definedName>
    <definedName name="換気_比消費電力">'option-elements'!$D$261</definedName>
    <definedName name="換気_比消費電力の入力">'option-elements'!$D$256:$D$258</definedName>
    <definedName name="換気01">'05_換気'!$C$2</definedName>
    <definedName name="換気02">'05_換気'!$C$3</definedName>
    <definedName name="換気03">'05_換気'!$C$4</definedName>
    <definedName name="換気04">'05_換気'!$C$5</definedName>
    <definedName name="換気05">'05_換気'!$C$6</definedName>
    <definedName name="換気06">'05_換気'!$C$7</definedName>
    <definedName name="換気07">'05_換気'!$C$8</definedName>
    <definedName name="基本_その他の居室の有無">'option-elements'!$D$10:$D$11</definedName>
    <definedName name="基本_居室の構成">'option-elements'!$D$8:$D$9</definedName>
    <definedName name="基本_住戸の評価方法">'option-elements'!$D$6:$D$7</definedName>
    <definedName name="基本_住宅タイプの名称">'option-elements'!$D$2</definedName>
    <definedName name="基本_住宅の建て方">'option-elements'!$D$4:$D$5</definedName>
    <definedName name="基本_床面積">'option-elements'!$D$14:$D$16</definedName>
    <definedName name="基本_地域の区分">'option-elements'!$D$17:$D$24</definedName>
    <definedName name="基本_入力責任者">'option-elements'!$D$3</definedName>
    <definedName name="基本_年間の日射地域区分">'option-elements'!$D$27:$D$31</definedName>
    <definedName name="基本_年間の日射地域区分の指定">'option-elements'!$D$25:$D$26</definedName>
    <definedName name="基本_非居室の有無">'option-elements'!$D$12:$D$13</definedName>
    <definedName name="基本01">'01_基本情報'!$C$2</definedName>
    <definedName name="基本02">'01_基本情報'!$C$3</definedName>
    <definedName name="基本03">'01_基本情報'!$C$4</definedName>
    <definedName name="基本04">'01_基本情報'!$C$5</definedName>
    <definedName name="基本05">'01_基本情報'!$C$6</definedName>
    <definedName name="基本06">'01_基本情報'!$C$7</definedName>
    <definedName name="基本07">'01_基本情報'!$C$8</definedName>
    <definedName name="基本08">'01_基本情報'!$C$9</definedName>
    <definedName name="基本09">'01_基本情報'!$C$10</definedName>
    <definedName name="基本10">'01_基本情報'!$C$11</definedName>
    <definedName name="基本11">'01_基本情報'!$C$12</definedName>
    <definedName name="基本12">'01_基本情報'!$C$13</definedName>
    <definedName name="基本13">'01_基本情報'!$C$14</definedName>
    <definedName name="機器の仕様の入力">"冷房_機器の仕様の入力"</definedName>
    <definedName name="照明_その他の居室の照明設備">'option-elements'!$D$365:$D$366</definedName>
    <definedName name="照明_主たる居室の照明設備">'option-elements'!$D$355:$D$356</definedName>
    <definedName name="照明_照明器具の種類_その他の居室">'option-elements'!$D$367:$D$370</definedName>
    <definedName name="照明_照明器具の種類_主たる居室">'option-elements'!$D$357:$D$360</definedName>
    <definedName name="照明_照明器具の種類_非居室">'option-elements'!$D$375:$D$378</definedName>
    <definedName name="照明_多灯分散照明方式_主たる居室">'option-elements'!$D$361:$D$362</definedName>
    <definedName name="照明_調光が可能な制御_その他の居室">'option-elements'!$D$371:$D$372</definedName>
    <definedName name="照明_調光が可能な制御_主たる居室">'option-elements'!$D$363:$D$364</definedName>
    <definedName name="照明_非居室の照明設備">'option-elements'!$D$373:$D$374</definedName>
    <definedName name="照明01">'08_照明'!$C$2</definedName>
    <definedName name="照明02">'08_照明'!$C$3</definedName>
    <definedName name="照明03">'08_照明'!$C$4</definedName>
    <definedName name="照明04">'08_照明'!$C$5</definedName>
    <definedName name="照明05">'08_照明'!$C$6</definedName>
    <definedName name="照明06">'08_照明'!$C$7</definedName>
    <definedName name="照明07">'08_照明'!$C$8</definedName>
    <definedName name="照明08">'08_照明'!$C$9</definedName>
    <definedName name="照明09">'08_照明'!$C$10</definedName>
    <definedName name="設計風量の入力">"冷房_設計風量の入力"</definedName>
    <definedName name="全般換気機能">"冷房_全般換気機能"</definedName>
    <definedName name="太陽光_パネルの設置方位角_パネル1">'option-elements'!$D$396:$D$407</definedName>
    <definedName name="太陽光_パネルの設置方位角_パネル2">'option-elements'!$D$424:$D$435</definedName>
    <definedName name="太陽光_パネルの設置方位角_パネル3">'option-elements'!$D$452:$D$463</definedName>
    <definedName name="太陽光_パネル設置傾斜角_パネル1">'option-elements'!$D$408:$D$417</definedName>
    <definedName name="太陽光_パネル設置傾斜角_パネル2">'option-elements'!$D$436:$D$445</definedName>
    <definedName name="太陽光_パネル設置傾斜角_パネル3">'option-elements'!$D$464:$D$473</definedName>
    <definedName name="太陽光_パワーコンディショナの定格負荷効率">'option-elements'!$D$389</definedName>
    <definedName name="太陽光_パワーコンディショナの定格負荷効率の入力">'option-elements'!$D$387:$D$388</definedName>
    <definedName name="太陽光_太陽光発電設備">'option-elements'!$D$379:$D$380</definedName>
    <definedName name="太陽光_太陽電池アレイのシステム容量_パネル1">'option-elements'!$D$390</definedName>
    <definedName name="太陽光_太陽電池アレイのシステム容量_パネル2">'option-elements'!$D$418</definedName>
    <definedName name="太陽光_太陽電池アレイのシステム容量_パネル3">'option-elements'!$D$446</definedName>
    <definedName name="太陽光_太陽電池アレイの種類_パネル1">'option-elements'!$D$391:$D$392</definedName>
    <definedName name="太陽光_太陽電池アレイの種類_パネル2">'option-elements'!$D$419:$D$420</definedName>
    <definedName name="太陽光_太陽電池アレイの種類_パネル3">'option-elements'!$D$447:$D$448</definedName>
    <definedName name="太陽光_太陽電池アレイ設置方式_パネル1">'option-elements'!$D$393:$D$395</definedName>
    <definedName name="太陽光_太陽電池アレイ設置方式_パネル2">'option-elements'!$D$421:$D$423</definedName>
    <definedName name="太陽光_太陽電池アレイ設置方式_パネル3">'option-elements'!$D$449:$D$451</definedName>
    <definedName name="太陽光_発電の評価">'option-elements'!$D$381:$D$382</definedName>
    <definedName name="太陽光_方位の異なるパネルの面数">'option-elements'!$D$383:$D$386</definedName>
    <definedName name="太陽光01">'09_太陽光'!$C$2</definedName>
    <definedName name="太陽光02">'09_太陽光'!$C$3</definedName>
    <definedName name="太陽光03">'09_太陽光'!$C$4</definedName>
    <definedName name="太陽光04">'09_太陽光'!$C$5</definedName>
    <definedName name="太陽光05">'09_太陽光'!$C$6</definedName>
    <definedName name="太陽光06">'09_太陽光'!$C$7</definedName>
    <definedName name="太陽光07">'09_太陽光'!$C$8</definedName>
    <definedName name="太陽光08">'09_太陽光'!$C$9</definedName>
    <definedName name="太陽光09">'09_太陽光'!$C$10</definedName>
    <definedName name="太陽光10">'09_太陽光'!$C$11</definedName>
    <definedName name="太陽光11">'09_太陽光'!$C$12</definedName>
    <definedName name="太陽光12">'09_太陽光'!$C$13</definedName>
    <definedName name="太陽光13">'09_太陽光'!$C$14</definedName>
    <definedName name="太陽光14">'09_太陽光'!$C$15</definedName>
    <definedName name="太陽光15">'09_太陽光'!$C$16</definedName>
    <definedName name="太陽光16">'09_太陽光'!$C$17</definedName>
    <definedName name="太陽光17">'09_太陽光'!$C$18</definedName>
    <definedName name="太陽光18">'09_太陽光'!$C$19</definedName>
    <definedName name="太陽光19">'09_太陽光'!$C$20</definedName>
    <definedName name="太陽光20">'09_太陽光'!$C$21</definedName>
    <definedName name="太陽熱_ソーラーシステムの指定">'option-elements'!$D$491:$D$493</definedName>
    <definedName name="太陽熱_液体集熱式太陽熱利用設備">'option-elements'!$D$474:$D$475</definedName>
    <definedName name="太陽熱_開放形太陽熱温水器の指定">'option-elements'!$D$486:$D$487</definedName>
    <definedName name="太陽熱_基準循環流量">'option-elements'!$D$522</definedName>
    <definedName name="太陽熱_機外静圧をゼロとした時の空気搬送ファンの風量">'option-elements'!$D$552</definedName>
    <definedName name="太陽熱_給湯接続方式の種類_ソーラーシステム">'option-elements'!$D$482:$D$483</definedName>
    <definedName name="太陽熱_給湯接続方式の種類_開放形太陽熱温水器">'option-elements'!$D$479</definedName>
    <definedName name="太陽熱_給湯接続方式の種類_密閉形太陽熱温水器_直圧式">'option-elements'!$D$480:$D$481</definedName>
    <definedName name="太陽熱_給湯部のタンク容量">'option-elements'!$D$557</definedName>
    <definedName name="太陽熱_空気集熱式太陽熱利用設備">'option-elements'!$D$530:$D$531</definedName>
    <definedName name="太陽熱_空気搬送ファンの自立運転用太陽光発電装置">'option-elements'!$D$548:$D$549</definedName>
    <definedName name="太陽熱_空気搬送ファンの種別">'option-elements'!$D$550:$D$551</definedName>
    <definedName name="太陽熱_集熱した熱の給湯への利用">'option-elements'!$D$553:$D$554</definedName>
    <definedName name="太陽熱_集熱器の集熱効率特性線図一次近似式の傾き_集熱器群その1">'option-elements'!$D$577</definedName>
    <definedName name="太陽熱_集熱器の集熱効率特性線図一次近似式の傾き_集熱器群その2">'option-elements'!$D$593</definedName>
    <definedName name="太陽熱_集熱器の集熱効率特性線図一次近似式の傾き_集熱器群その3">'option-elements'!$D$609</definedName>
    <definedName name="太陽熱_集熱器の集熱効率特性線図一次近似式の切片_集熱器群その1">'option-elements'!$D$576</definedName>
    <definedName name="太陽熱_集熱器の集熱効率特性線図一次近似式の切片_集熱器群その2">'option-elements'!$D$592</definedName>
    <definedName name="太陽熱_集熱器の集熱効率特性線図一次近似式の切片_集熱器群その3">'option-elements'!$D$608</definedName>
    <definedName name="太陽熱_集熱器の集熱性能試験時における単位面積当たりの空気の質量流量_集熱器群その1">'option-elements'!$D$578</definedName>
    <definedName name="太陽熱_集熱器の集熱性能試験時における単位面積当たりの空気の質量流量_集熱器群その2">'option-elements'!$D$594</definedName>
    <definedName name="太陽熱_集熱器の集熱性能試験時における単位面積当たりの空気の質量流量_集熱器群その3">'option-elements'!$D$610</definedName>
    <definedName name="太陽熱_集熱器群の傾斜角_集熱器群その1">'option-elements'!$D$564:$D$573</definedName>
    <definedName name="太陽熱_集熱器群の傾斜角_集熱器群その2">'option-elements'!$D$580:$D$589</definedName>
    <definedName name="太陽熱_集熱器群の傾斜角_集熱器群その3">'option-elements'!$D$596:$D$605</definedName>
    <definedName name="太陽熱_集熱器群の仕様の入力_集熱器群その1">'option-elements'!$D$574:$D$575</definedName>
    <definedName name="太陽熱_集熱器群の仕様の入力_集熱器群その2">'option-elements'!$D$590:$D$591</definedName>
    <definedName name="太陽熱_集熱器群の仕様の入力_集熱器群その3">'option-elements'!$D$606:$D$607</definedName>
    <definedName name="太陽熱_集熱器群の数">'option-elements'!$D$532:$D$535</definedName>
    <definedName name="太陽熱_集熱器群の面積_集熱器群その1">'option-elements'!$D$563</definedName>
    <definedName name="太陽熱_集熱器群の面積_集熱器群その2">'option-elements'!$D$579</definedName>
    <definedName name="太陽熱_集熱器群の面積_集熱器群その3">'option-elements'!$D$595</definedName>
    <definedName name="太陽熱_集熱後の空気を供給する空間">'option-elements'!$D$558:$D$559</definedName>
    <definedName name="太陽熱_集熱後の空気を供給する床下の面積の割合">'option-elements'!$D$560</definedName>
    <definedName name="太陽熱_集熱配管の線熱通過率">'option-elements'!$D$524</definedName>
    <definedName name="太陽熱_集熱部の設置傾斜角">'option-elements'!$D$507:$D$516</definedName>
    <definedName name="太陽熱_集熱部の設置方位角">'option-elements'!$D$495:$D$506</definedName>
    <definedName name="太陽熱_集熱部の方位角">'option-elements'!$D$536:$D$547</definedName>
    <definedName name="太陽熱_集熱部効率係数_b0">'option-elements'!$D$520</definedName>
    <definedName name="太陽熱_集熱部総面積">'option-elements'!$D$494</definedName>
    <definedName name="太陽熱_集熱部損失係数_b1">'option-elements'!$D$521</definedName>
    <definedName name="太陽熱_循環ポンプの自立運転用太陽光発電装置">'option-elements'!$D$555:$D$556</definedName>
    <definedName name="太陽熱_循環ポンプ集熱判定時電力">'option-elements'!$D$527</definedName>
    <definedName name="太陽熱_循環ポンプ連続運転時電力">'option-elements'!$D$526</definedName>
    <definedName name="太陽熱_床下空間の断熱">'option-elements'!$D$561:$D$562</definedName>
    <definedName name="太陽熱_設備の種類">'option-elements'!$D$476:$D$478</definedName>
    <definedName name="太陽熱_太陽熱用水栓">'option-elements'!$D$484:$D$485</definedName>
    <definedName name="太陽熱_蓄熱タンク容量">'option-elements'!$F$518</definedName>
    <definedName name="太陽熱_蓄熱槽熱損失係数">'option-elements'!$D$529</definedName>
    <definedName name="太陽熱_貯湯量">'option-elements'!$D$517</definedName>
    <definedName name="太陽熱_熱交換器伝熱係数">'option-elements'!$D$525</definedName>
    <definedName name="太陽熱_熱媒の定圧比熱">'option-elements'!$D$523</definedName>
    <definedName name="太陽熱_品番">'option-elements'!$D$519</definedName>
    <definedName name="太陽熱_密閉形太陽熱温水器の指定">'option-elements'!$D$488:$D$490</definedName>
    <definedName name="太陽熱_有効出湯効率">'option-elements'!$D$528</definedName>
    <definedName name="太陽熱01">'10_太陽熱'!$C$2</definedName>
    <definedName name="太陽熱02">'10_太陽熱'!$C$3</definedName>
    <definedName name="太陽熱03">'10_太陽熱'!$C$4</definedName>
    <definedName name="太陽熱04">'10_太陽熱'!$C$5</definedName>
    <definedName name="太陽熱05">'10_太陽熱'!$C$6</definedName>
    <definedName name="太陽熱06">'10_太陽熱'!$C$7</definedName>
    <definedName name="太陽熱07">'10_太陽熱'!$C$8</definedName>
    <definedName name="太陽熱08">'10_太陽熱'!$C$9</definedName>
    <definedName name="太陽熱09">'10_太陽熱'!$C$10</definedName>
    <definedName name="太陽熱10">'10_太陽熱'!$C$11</definedName>
    <definedName name="太陽熱11">'10_太陽熱'!$C$12</definedName>
    <definedName name="太陽熱12">'10_太陽熱'!$C$13</definedName>
    <definedName name="太陽熱13">'10_太陽熱'!$C$14</definedName>
    <definedName name="太陽熱14">'10_太陽熱'!$C$15</definedName>
    <definedName name="太陽熱15">'10_太陽熱'!$C$16</definedName>
    <definedName name="太陽熱16">'10_太陽熱'!$C$17</definedName>
    <definedName name="太陽熱17">'10_太陽熱'!$C$18</definedName>
    <definedName name="太陽熱18">'10_太陽熱'!$C$19</definedName>
    <definedName name="太陽熱19">'10_太陽熱'!$C$20</definedName>
    <definedName name="太陽熱20">'10_太陽熱'!$C$21</definedName>
    <definedName name="太陽熱21">'10_太陽熱'!$C$22</definedName>
    <definedName name="太陽熱22">'10_太陽熱'!$C$23</definedName>
    <definedName name="太陽熱23">'10_太陽熱'!$C$24</definedName>
    <definedName name="太陽熱24">'10_太陽熱'!$C$25</definedName>
    <definedName name="太陽熱25">'10_太陽熱'!$C$26</definedName>
    <definedName name="太陽熱26">'10_太陽熱'!$C$27</definedName>
    <definedName name="太陽熱27">'10_太陽熱'!$C$28</definedName>
    <definedName name="太陽熱28">'10_太陽熱'!$C$29</definedName>
    <definedName name="太陽熱29">'10_太陽熱'!$C$30</definedName>
    <definedName name="太陽熱30">'10_太陽熱'!$C$31</definedName>
    <definedName name="太陽熱31">'10_太陽熱'!$C$32</definedName>
    <definedName name="太陽熱32">'10_太陽熱'!$C$33</definedName>
    <definedName name="太陽熱33">'10_太陽熱'!$C$34</definedName>
    <definedName name="太陽熱34">'10_太陽熱'!$C$35</definedName>
    <definedName name="太陽熱35">'10_太陽熱'!$C$36</definedName>
    <definedName name="太陽熱36">'10_太陽熱'!$C$37</definedName>
    <definedName name="太陽熱37">'10_太陽熱'!$C$38</definedName>
    <definedName name="太陽熱38">'10_太陽熱'!$C$39</definedName>
    <definedName name="太陽熱39">'10_太陽熱'!$C$40</definedName>
    <definedName name="太陽熱40">'10_太陽熱'!$C$41</definedName>
    <definedName name="太陽熱41">'10_太陽熱'!$C$42</definedName>
    <definedName name="太陽熱42">'10_太陽熱'!$C$43</definedName>
    <definedName name="太陽熱43">'10_太陽熱'!$C$44</definedName>
    <definedName name="太陽熱44">'10_太陽熱'!$C$45</definedName>
    <definedName name="太陽熱45">'10_太陽熱'!$C$46</definedName>
    <definedName name="太陽熱46">'10_太陽熱'!$C$47</definedName>
    <definedName name="太陽熱47">'10_太陽熱'!$C$48</definedName>
    <definedName name="太陽熱48">'10_太陽熱'!$C$49</definedName>
    <definedName name="太陽熱49">'10_太陽熱'!$C$50</definedName>
    <definedName name="太陽熱50">'10_太陽熱'!$C$51</definedName>
    <definedName name="太陽熱51">'10_太陽熱'!$C$52</definedName>
    <definedName name="太陽熱52">'10_太陽熱'!$C$53</definedName>
    <definedName name="太陽熱53">'10_太陽熱'!$C$54</definedName>
    <definedName name="太陽熱54">'10_太陽熱'!$C$55</definedName>
    <definedName name="太陽熱55">'10_太陽熱'!$C$56</definedName>
    <definedName name="暖房_VAV方式">'option-elements'!$D$203:$D$204</definedName>
    <definedName name="暖房_エネルギー消費効率の区分_その他の居室">'option-elements'!$D$137:$D$139</definedName>
    <definedName name="暖房_エネルギー消費効率の区分_主たる居室">'option-elements'!$D$83:$D$85</definedName>
    <definedName name="暖房_エネルギー消費効率の入力">'option-elements'!$D$176:$D$177</definedName>
    <definedName name="暖房_エネルギー消費効率の入力_その他の居室">'option-elements'!$D$134:$D$135</definedName>
    <definedName name="暖房_エネルギー消費効率の入力_主たる居室">'option-elements'!$D$80:$D$81</definedName>
    <definedName name="暖房_その他の温水暖房機の名称">'option-elements'!$D$195</definedName>
    <definedName name="暖房_その他の暖房設備機器の名称_その他の居室">'option-elements'!$D$163</definedName>
    <definedName name="暖房_その他の暖房設備機器の名称_主たる居室">'option-elements'!$D$121</definedName>
    <definedName name="暖房_ダクトが通過する空間">'option-elements'!$D$201:$D$202</definedName>
    <definedName name="暖房_温水暖房機の種類">'option-elements'!$D$164:$D$175</definedName>
    <definedName name="暖房_仮想床の床面積を除いた敷設率_主たる居室">'option-elements'!$D$93:$D$102</definedName>
    <definedName name="暖房_仮想床の床面積を除いた敷設率の入力_主たる居室">'option-elements'!$D$91:$D$92</definedName>
    <definedName name="暖房_機器の仕様の入力">'option-elements'!$D$207:$D$209</definedName>
    <definedName name="暖房_小能力時高効率型コンプレッサー_その他の居室">'option-elements'!$D$140:$D$141</definedName>
    <definedName name="暖房_小能力時高効率型コンプレッサー_主たる居室">'option-elements'!$D$86:$D$87</definedName>
    <definedName name="暖房_上面放熱率_床の断熱_その他の居室">'option-elements'!$D$145:$D$154</definedName>
    <definedName name="暖房_上面放熱率_床の断熱_主たる居室">'option-elements'!$D$103:$D$112</definedName>
    <definedName name="暖房_設計風量">'option-elements'!$D$220</definedName>
    <definedName name="暖房_設計風量の入力">'option-elements'!$D$218:$D$219</definedName>
    <definedName name="暖房_全般換気機能">'option-elements'!$D$205:$D$206</definedName>
    <definedName name="暖房_断熱配管">'option-elements'!$D$196:$D$197</definedName>
    <definedName name="暖房_断熱配管_その他の居室">'option-elements'!$D$157:$D$158</definedName>
    <definedName name="暖房_断熱配管_主たる居室">'option-elements'!$D$115:$D$116</definedName>
    <definedName name="暖房_暖房設備機器の種類">'option-elements'!$D$200</definedName>
    <definedName name="暖房_暖房設備機器または放熱器の種類_その他の居室">'option-elements'!$D$122:$D$133</definedName>
    <definedName name="暖房_暖房設備機器または放熱器の種類_主たる居室">'option-elements'!$D$68:$D$79</definedName>
    <definedName name="暖房_暖房方式">'option-elements'!$D$65:$D$67</definedName>
    <definedName name="暖房_中間暖房能力試験_室内側送風機の消費電力">'option-elements'!$D$217</definedName>
    <definedName name="暖房_中間暖房能力試験_消費電力">'option-elements'!$D$215</definedName>
    <definedName name="暖房_中間暖房能力試験_能力">'option-elements'!$D$214</definedName>
    <definedName name="暖房_中間暖房能力試験_風量">'option-elements'!$D$216</definedName>
    <definedName name="暖房_低出力モード_その他の居室">'option-elements'!$D$155:$D$156</definedName>
    <definedName name="暖房_低出力モード_主たる居室">'option-elements'!$D$113:$D$114</definedName>
    <definedName name="暖房_定格暖房能力試験_室内側送風機の消費電力">'option-elements'!$D$213</definedName>
    <definedName name="暖房_定格暖房能力試験_消費電力">'option-elements'!$D$211</definedName>
    <definedName name="暖房_定格暖房能力試験_能力">'option-elements'!$D$210</definedName>
    <definedName name="暖房_定格暖房能力試験_風量">'option-elements'!$D$212</definedName>
    <definedName name="暖房_定格能力におけるエネルギー消費効率">'option-elements'!$D$178:$D$187</definedName>
    <definedName name="暖房_定格能力におけるエネルギー消費効率_その他の居室">'option-elements'!$D$136</definedName>
    <definedName name="暖房_定格能力におけるエネルギー消費効率_主たる居室">'option-elements'!$D$82</definedName>
    <definedName name="暖房_定常時消費電力_その他の居室">'option-elements'!$D$162</definedName>
    <definedName name="暖房_定常時消費電力_主たる居室">'option-elements'!$D$120</definedName>
    <definedName name="暖房_点火時消費電力量_その他の居室">'option-elements'!$D$161</definedName>
    <definedName name="暖房_点火時消費電力量_主たる居室">'option-elements'!$D$119</definedName>
    <definedName name="暖房_熱交換器タイプ">'option-elements'!$D$190:$D$194</definedName>
    <definedName name="暖房_熱交換器タイプの入力">'option-elements'!$D$188:$D$189</definedName>
    <definedName name="暖房_熱効率_その他の居室">'option-elements'!$D$160</definedName>
    <definedName name="暖房_熱効率_主たる居室">'option-elements'!$D$118</definedName>
    <definedName name="暖房_熱出力_その他の居室">'option-elements'!$D$159</definedName>
    <definedName name="暖房_熱出力_主たる居室">'option-elements'!$D$117</definedName>
    <definedName name="暖房_配管が通過する空間">'option-elements'!$D$198:$D$199</definedName>
    <definedName name="暖房_敷設率_その他の居室">'option-elements'!$D$144</definedName>
    <definedName name="暖房_敷設率_主たる居室">'option-elements'!$D$90</definedName>
    <definedName name="暖房_敷設率の入力_その他の居室">'option-elements'!$D$142:$D$143</definedName>
    <definedName name="暖房_敷設率の入力_主たる居室">'option-elements'!$D$88:$D$89</definedName>
    <definedName name="暖房01">'03_暖房'!$C$2</definedName>
    <definedName name="暖房02">'03_暖房'!$C$3</definedName>
    <definedName name="暖房03">'03_暖房'!$C$4</definedName>
    <definedName name="暖房04">'03_暖房'!$C$5</definedName>
    <definedName name="暖房05">'03_暖房'!$C$6</definedName>
    <definedName name="暖房06">'03_暖房'!$C$7</definedName>
    <definedName name="暖房07">'03_暖房'!$C$8</definedName>
    <definedName name="暖房08">'03_暖房'!$C$9</definedName>
    <definedName name="暖房09">'03_暖房'!$C$10</definedName>
    <definedName name="暖房10">'03_暖房'!$C$11</definedName>
    <definedName name="暖房11">'03_暖房'!$C$12</definedName>
    <definedName name="暖房12">'03_暖房'!$C$13</definedName>
    <definedName name="暖房13">'03_暖房'!$C$14</definedName>
    <definedName name="暖房14">'03_暖房'!$C$15</definedName>
    <definedName name="暖房15">'03_暖房'!$C$16</definedName>
    <definedName name="暖房16">'03_暖房'!$C$17</definedName>
    <definedName name="暖房17">'03_暖房'!$C$18</definedName>
    <definedName name="暖房18">'03_暖房'!$C$19</definedName>
    <definedName name="暖房19">'03_暖房'!$C$20</definedName>
    <definedName name="暖房20">'03_暖房'!$C$21</definedName>
    <definedName name="暖房21">'03_暖房'!$C$22</definedName>
    <definedName name="暖房22">'03_暖房'!$C$23</definedName>
    <definedName name="暖房23">'03_暖房'!$C$24</definedName>
    <definedName name="暖房24">'03_暖房'!$C$25</definedName>
    <definedName name="暖房25">'03_暖房'!$C$26</definedName>
    <definedName name="暖房26">'03_暖房'!$C$27</definedName>
    <definedName name="暖房27">'03_暖房'!$C$28</definedName>
    <definedName name="暖房28">'03_暖房'!$C$29</definedName>
    <definedName name="暖房29">'03_暖房'!$C$30</definedName>
    <definedName name="暖房30">'03_暖房'!$C$31</definedName>
    <definedName name="暖房31">'03_暖房'!$C$32</definedName>
    <definedName name="暖房32">'03_暖房'!$C$33</definedName>
    <definedName name="暖房33">'03_暖房'!$C$34</definedName>
    <definedName name="暖房34">'03_暖房'!$C$35</definedName>
    <definedName name="暖房35">'03_暖房'!$C$36</definedName>
    <definedName name="暖房36">'03_暖房'!$C$37</definedName>
    <definedName name="暖房37">'03_暖房'!$C$38</definedName>
    <definedName name="暖房38">'03_暖房'!$C$39</definedName>
    <definedName name="暖房39">'03_暖房'!$C$40</definedName>
    <definedName name="暖房40">'03_暖房'!$C$41</definedName>
    <definedName name="暖房41">'03_暖房'!$C$42</definedName>
    <definedName name="暖房42">'03_暖房'!$C$43</definedName>
    <definedName name="暖房43">'03_暖房'!$C$44</definedName>
    <definedName name="暖房44">'03_暖房'!$C$45</definedName>
    <definedName name="暖房45">'03_暖房'!$C$46</definedName>
    <definedName name="暖房46">'03_暖房'!$C$47</definedName>
    <definedName name="暖房47">'03_暖房'!$C$48</definedName>
    <definedName name="暖房48">'03_暖房'!$C$49</definedName>
    <definedName name="暖房49">'03_暖房'!$C$50</definedName>
    <definedName name="暖房50">'03_暖房'!$C$51</definedName>
    <definedName name="暖房51">'03_暖房'!$C$52</definedName>
    <definedName name="暖房52">'03_暖房'!$C$53</definedName>
    <definedName name="暖房53">'03_暖房'!$C$54</definedName>
    <definedName name="暖房54">'03_暖房'!$C$55</definedName>
    <definedName name="暖房55">'03_暖房'!$C$56</definedName>
    <definedName name="暖房56">'03_暖房'!$C$57</definedName>
    <definedName name="熱交換01">'06_熱交換'!$C$2</definedName>
    <definedName name="熱交換02">'06_熱交換'!$C$3</definedName>
    <definedName name="熱交換03">'06_熱交換'!$C$4</definedName>
    <definedName name="熱交換04">'06_熱交換'!$C$5</definedName>
    <definedName name="熱交換05">'06_熱交換'!$C$6</definedName>
    <definedName name="冷房_VAV方式">'option-elements'!$D$241:$D$242</definedName>
    <definedName name="冷房_エネルギー消費効率の入力_その他の居室">'option-elements'!$D$235:$D$236</definedName>
    <definedName name="冷房_エネルギー消費効率の入力_主たる居室">'option-elements'!$D$228:$D$229</definedName>
    <definedName name="冷房_その他の冷房設備機器の名称_その他の居室">'option-elements'!$D$237</definedName>
    <definedName name="冷房_その他の冷房設備機器の名称_主たる居室">'option-elements'!$D$230</definedName>
    <definedName name="冷房_ダクトが通過する空間">'option-elements'!$D$239:$D$240</definedName>
    <definedName name="冷房_機器の仕様の入力">'option-elements'!$D$245:$D$247</definedName>
    <definedName name="冷房_設計風量">'option-elements'!$D$250</definedName>
    <definedName name="冷房_設計風量の入力">'option-elements'!$D$248:$D$249</definedName>
    <definedName name="冷房_全般換気機能">'option-elements'!$D$243:$D$244</definedName>
    <definedName name="冷房_冷房設備機器の種類">'option-elements'!$D$238</definedName>
    <definedName name="冷房_冷房設備機器の種類_その他の居室">'option-elements'!$D$231:$D$234</definedName>
    <definedName name="冷房_冷房設備機器の種類_主たる居室">'option-elements'!$D$224:$D$227</definedName>
    <definedName name="冷房_冷房方式">'option-elements'!$D$221:$D$223</definedName>
    <definedName name="冷房01">'04_冷房'!$C$2</definedName>
    <definedName name="冷房02">'04_冷房'!$C$3</definedName>
    <definedName name="冷房03">'04_冷房'!$C$4</definedName>
    <definedName name="冷房04">'04_冷房'!$C$5</definedName>
    <definedName name="冷房05">'04_冷房'!$C$6</definedName>
    <definedName name="冷房06">'04_冷房'!$C$7</definedName>
    <definedName name="冷房07">'04_冷房'!$C$8</definedName>
    <definedName name="冷房08">'04_冷房'!$C$9</definedName>
    <definedName name="冷房09">'04_冷房'!$C$10</definedName>
    <definedName name="冷房10">'04_冷房'!$C$11</definedName>
    <definedName name="冷房11">'04_冷房'!$C$12</definedName>
    <definedName name="冷房12">'04_冷房'!$C$13</definedName>
    <definedName name="冷房13">'04_冷房'!$C$14</definedName>
    <definedName name="冷房14">'04_冷房'!$C$15</definedName>
    <definedName name="冷房設備機器の種類">"冷房_冷房設備機器の種類"</definedName>
    <definedName name="冷房設備機器の種類_その他の居室">"冷房_冷房設備機器の種類_その他の居室"</definedName>
    <definedName name="冷房設備機器の種類_主たる居室">"冷房_冷房設備機器の種類_主たる居室"</definedName>
    <definedName name="冷房方式">"冷房_冷房方式"</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76" i="6" l="1"/>
  <c r="F479" i="6"/>
  <c r="F480" i="6"/>
  <c r="F482" i="6"/>
  <c r="F484" i="6"/>
  <c r="F486" i="6"/>
  <c r="F488" i="6"/>
  <c r="F491" i="6"/>
  <c r="F494" i="6"/>
  <c r="F495" i="6"/>
  <c r="F507" i="6"/>
  <c r="F517" i="6"/>
  <c r="F518" i="6"/>
  <c r="F519" i="6"/>
  <c r="F520" i="6"/>
  <c r="F521" i="6"/>
  <c r="F522" i="6"/>
  <c r="F523" i="6"/>
  <c r="F524" i="6"/>
  <c r="F525" i="6"/>
  <c r="F526" i="6"/>
  <c r="F527" i="6"/>
  <c r="F528" i="6"/>
  <c r="F529" i="6"/>
  <c r="F530" i="6"/>
  <c r="F532" i="6"/>
  <c r="F536" i="6"/>
  <c r="F548" i="6"/>
  <c r="F550" i="6"/>
  <c r="F552" i="6"/>
  <c r="F553" i="6"/>
  <c r="F555" i="6"/>
  <c r="F557" i="6"/>
  <c r="F558" i="6"/>
  <c r="F560" i="6"/>
  <c r="F561" i="6"/>
  <c r="F563" i="6"/>
  <c r="F564" i="6"/>
  <c r="F574" i="6"/>
  <c r="F576" i="6"/>
  <c r="F577" i="6"/>
  <c r="F578" i="6"/>
  <c r="F579" i="6"/>
  <c r="F580" i="6"/>
  <c r="F590" i="6"/>
  <c r="F592" i="6"/>
  <c r="F593" i="6"/>
  <c r="F594" i="6"/>
  <c r="F595" i="6"/>
  <c r="F596" i="6"/>
  <c r="F606" i="6"/>
  <c r="F608" i="6"/>
  <c r="F609" i="6"/>
  <c r="F610" i="6"/>
  <c r="F474" i="6"/>
  <c r="F381" i="6" l="1"/>
  <c r="F383" i="6"/>
  <c r="F387" i="6"/>
  <c r="F389" i="6"/>
  <c r="F390" i="6"/>
  <c r="F391" i="6"/>
  <c r="F393" i="6"/>
  <c r="F396" i="6"/>
  <c r="F408" i="6"/>
  <c r="F418" i="6"/>
  <c r="F419" i="6"/>
  <c r="F421" i="6"/>
  <c r="F424" i="6"/>
  <c r="F436" i="6"/>
  <c r="F446" i="6"/>
  <c r="F447" i="6"/>
  <c r="F449" i="6"/>
  <c r="F452" i="6"/>
  <c r="F464" i="6"/>
  <c r="F379" i="6"/>
  <c r="F375" i="6"/>
  <c r="F373" i="6"/>
  <c r="F371" i="6"/>
  <c r="F367" i="6"/>
  <c r="F365" i="6"/>
  <c r="F363" i="6"/>
  <c r="F361" i="6"/>
  <c r="F357" i="6"/>
  <c r="F355" i="6"/>
  <c r="F268" i="6"/>
  <c r="F270" i="6"/>
  <c r="F271" i="6"/>
  <c r="F273" i="6"/>
  <c r="F274" i="6"/>
  <c r="F261" i="6"/>
  <c r="F259" i="6"/>
  <c r="F267" i="6"/>
  <c r="F265" i="6"/>
  <c r="F262" i="6"/>
  <c r="F256" i="6"/>
  <c r="F251" i="6"/>
  <c r="F250" i="6"/>
  <c r="F248" i="6"/>
  <c r="F245" i="6"/>
  <c r="F243" i="6"/>
  <c r="F241" i="6"/>
  <c r="F239" i="6"/>
  <c r="F238" i="6"/>
  <c r="F237" i="6"/>
  <c r="F235" i="6"/>
  <c r="F231" i="6"/>
  <c r="F230" i="6"/>
  <c r="F228" i="6"/>
  <c r="F224" i="6"/>
  <c r="F221" i="6"/>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33" i="12"/>
  <c r="C34" i="12"/>
  <c r="C35" i="12"/>
  <c r="C36" i="12"/>
  <c r="C37" i="12"/>
  <c r="C38" i="12"/>
  <c r="C39" i="12"/>
  <c r="C40" i="12"/>
  <c r="C41" i="12"/>
  <c r="C42" i="12"/>
  <c r="C43" i="12"/>
  <c r="C32" i="12"/>
  <c r="H207" i="12"/>
  <c r="H208" i="12"/>
  <c r="H209" i="12"/>
  <c r="H210" i="12"/>
  <c r="H211" i="12"/>
  <c r="H212" i="12"/>
  <c r="H213" i="12"/>
  <c r="H214" i="12"/>
  <c r="H215" i="12"/>
  <c r="H216" i="12"/>
  <c r="H217" i="12"/>
  <c r="H218" i="12"/>
  <c r="H219" i="12"/>
  <c r="H220" i="12"/>
  <c r="H190" i="12"/>
  <c r="H191" i="12"/>
  <c r="H192" i="12"/>
  <c r="H193" i="12"/>
  <c r="H194" i="12"/>
  <c r="H195" i="12"/>
  <c r="H196" i="12"/>
  <c r="H197" i="12"/>
  <c r="H198" i="12"/>
  <c r="H199" i="12"/>
  <c r="H200" i="12"/>
  <c r="H201" i="12"/>
  <c r="H202" i="12"/>
  <c r="H203" i="12"/>
  <c r="H204" i="12"/>
  <c r="H205" i="12"/>
  <c r="H206" i="12"/>
  <c r="H174" i="12"/>
  <c r="H175" i="12"/>
  <c r="H176" i="12"/>
  <c r="H177" i="12"/>
  <c r="H178" i="12"/>
  <c r="H179" i="12"/>
  <c r="H180" i="12"/>
  <c r="H181" i="12"/>
  <c r="H182" i="12"/>
  <c r="H183" i="12"/>
  <c r="H184" i="12"/>
  <c r="H185" i="12"/>
  <c r="H186" i="12"/>
  <c r="H187" i="12"/>
  <c r="H188" i="12"/>
  <c r="H18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33" i="12"/>
  <c r="H134" i="12"/>
  <c r="H135" i="12"/>
  <c r="H136" i="12"/>
  <c r="H137" i="12"/>
  <c r="H138" i="12"/>
  <c r="H139" i="12"/>
  <c r="H140" i="12"/>
  <c r="H141" i="12"/>
  <c r="H142" i="12"/>
  <c r="H143" i="12"/>
  <c r="H144" i="12"/>
  <c r="H145" i="12"/>
  <c r="H146" i="12"/>
  <c r="H147" i="12"/>
  <c r="H148" i="12"/>
  <c r="H149" i="12"/>
  <c r="H121" i="12"/>
  <c r="H122" i="12"/>
  <c r="H123" i="12"/>
  <c r="H124" i="12"/>
  <c r="H125" i="12"/>
  <c r="H126" i="12"/>
  <c r="H127" i="12"/>
  <c r="H128" i="12"/>
  <c r="H129" i="12"/>
  <c r="H130" i="12"/>
  <c r="H131" i="12"/>
  <c r="H132" i="12"/>
  <c r="A217" i="12"/>
  <c r="A218" i="12"/>
  <c r="A219" i="12"/>
  <c r="A220" i="12"/>
  <c r="D217" i="12"/>
  <c r="D218" i="12"/>
  <c r="D219" i="12"/>
  <c r="D220" i="12"/>
  <c r="A210" i="12"/>
  <c r="A211" i="12"/>
  <c r="A212" i="12"/>
  <c r="A213" i="12"/>
  <c r="A214" i="12"/>
  <c r="A215" i="12"/>
  <c r="A216" i="12"/>
  <c r="D210" i="12"/>
  <c r="D211" i="12"/>
  <c r="D212" i="12"/>
  <c r="D213" i="12"/>
  <c r="D214" i="12"/>
  <c r="D215" i="12"/>
  <c r="D216" i="12"/>
  <c r="A202" i="12"/>
  <c r="A203" i="12"/>
  <c r="A204" i="12"/>
  <c r="A205" i="12"/>
  <c r="A206" i="12"/>
  <c r="A207" i="12"/>
  <c r="A208" i="12"/>
  <c r="A209" i="12"/>
  <c r="D202" i="12"/>
  <c r="D203" i="12"/>
  <c r="D204" i="12"/>
  <c r="D205" i="12"/>
  <c r="D206" i="12"/>
  <c r="D207" i="12"/>
  <c r="D208" i="12"/>
  <c r="D209" i="12"/>
  <c r="A193" i="12"/>
  <c r="A194" i="12"/>
  <c r="A195" i="12"/>
  <c r="A196" i="12"/>
  <c r="A197" i="12"/>
  <c r="A198" i="12"/>
  <c r="A199" i="12"/>
  <c r="A200" i="12"/>
  <c r="A201" i="12"/>
  <c r="D193" i="12"/>
  <c r="D194" i="12"/>
  <c r="D195" i="12"/>
  <c r="D196" i="12"/>
  <c r="D197" i="12"/>
  <c r="D198" i="12"/>
  <c r="D199" i="12"/>
  <c r="D200" i="12"/>
  <c r="D201" i="12"/>
  <c r="A174" i="12"/>
  <c r="A175" i="12"/>
  <c r="A176" i="12"/>
  <c r="A177" i="12"/>
  <c r="A178" i="12"/>
  <c r="A179" i="12"/>
  <c r="A180" i="12"/>
  <c r="A181" i="12"/>
  <c r="A182" i="12"/>
  <c r="A183" i="12"/>
  <c r="A184" i="12"/>
  <c r="A185" i="12"/>
  <c r="A186" i="12"/>
  <c r="A187" i="12"/>
  <c r="A188" i="12"/>
  <c r="A189" i="12"/>
  <c r="A190" i="12"/>
  <c r="A191" i="12"/>
  <c r="A192" i="12"/>
  <c r="D174" i="12"/>
  <c r="D175" i="12"/>
  <c r="D176" i="12"/>
  <c r="D177" i="12"/>
  <c r="D178" i="12"/>
  <c r="D179" i="12"/>
  <c r="D180" i="12"/>
  <c r="D181" i="12"/>
  <c r="D182" i="12"/>
  <c r="D183" i="12"/>
  <c r="D184" i="12"/>
  <c r="D185" i="12"/>
  <c r="D186" i="12"/>
  <c r="D187" i="12"/>
  <c r="D188" i="12"/>
  <c r="D189" i="12"/>
  <c r="D190" i="12"/>
  <c r="D191" i="12"/>
  <c r="D192" i="12"/>
  <c r="A152" i="12"/>
  <c r="A153" i="12"/>
  <c r="A154" i="12"/>
  <c r="A155" i="12"/>
  <c r="A156" i="12"/>
  <c r="A157" i="12"/>
  <c r="A158" i="12"/>
  <c r="A159" i="12"/>
  <c r="A160" i="12"/>
  <c r="A161" i="12"/>
  <c r="A162" i="12"/>
  <c r="A163" i="12"/>
  <c r="A164" i="12"/>
  <c r="A165" i="12"/>
  <c r="A166" i="12"/>
  <c r="A167" i="12"/>
  <c r="A168" i="12"/>
  <c r="A169" i="12"/>
  <c r="A170" i="12"/>
  <c r="A171" i="12"/>
  <c r="A172" i="12"/>
  <c r="A173" i="12"/>
  <c r="D152" i="12"/>
  <c r="D153" i="12"/>
  <c r="D154" i="12"/>
  <c r="D155" i="12"/>
  <c r="D156" i="12"/>
  <c r="D157" i="12"/>
  <c r="D158" i="12"/>
  <c r="D159" i="12"/>
  <c r="D160" i="12"/>
  <c r="D161" i="12"/>
  <c r="D162" i="12"/>
  <c r="D163" i="12"/>
  <c r="D164" i="12"/>
  <c r="D165" i="12"/>
  <c r="D166" i="12"/>
  <c r="D167" i="12"/>
  <c r="D168" i="12"/>
  <c r="D169" i="12"/>
  <c r="D170" i="12"/>
  <c r="D171" i="12"/>
  <c r="D172" i="12"/>
  <c r="D173" i="12"/>
  <c r="A137" i="12"/>
  <c r="A138" i="12"/>
  <c r="A139" i="12"/>
  <c r="A140" i="12"/>
  <c r="A141" i="12"/>
  <c r="A142" i="12"/>
  <c r="A143" i="12"/>
  <c r="A144" i="12"/>
  <c r="A145" i="12"/>
  <c r="A146" i="12"/>
  <c r="A147" i="12"/>
  <c r="A148" i="12"/>
  <c r="A149" i="12"/>
  <c r="A150" i="12"/>
  <c r="A151" i="12"/>
  <c r="D137" i="12"/>
  <c r="D138" i="12"/>
  <c r="D139" i="12"/>
  <c r="D140" i="12"/>
  <c r="D141" i="12"/>
  <c r="D142" i="12"/>
  <c r="D143" i="12"/>
  <c r="D144" i="12"/>
  <c r="D145" i="12"/>
  <c r="D146" i="12"/>
  <c r="D147" i="12"/>
  <c r="D148" i="12"/>
  <c r="D149" i="12"/>
  <c r="D150" i="12"/>
  <c r="D151" i="12"/>
  <c r="A121" i="12"/>
  <c r="A122" i="12"/>
  <c r="A123" i="12"/>
  <c r="A124" i="12"/>
  <c r="A125" i="12"/>
  <c r="A126" i="12"/>
  <c r="A127" i="12"/>
  <c r="A128" i="12"/>
  <c r="A129" i="12"/>
  <c r="A130" i="12"/>
  <c r="A131" i="12"/>
  <c r="A132" i="12"/>
  <c r="A133" i="12"/>
  <c r="A134" i="12"/>
  <c r="A135" i="12"/>
  <c r="A136" i="12"/>
  <c r="D121" i="12"/>
  <c r="D122" i="12"/>
  <c r="D123" i="12"/>
  <c r="D124" i="12"/>
  <c r="D125" i="12"/>
  <c r="D126" i="12"/>
  <c r="D127" i="12"/>
  <c r="D128" i="12"/>
  <c r="D129" i="12"/>
  <c r="D130" i="12"/>
  <c r="D131" i="12"/>
  <c r="D132" i="12"/>
  <c r="D133" i="12"/>
  <c r="D134" i="12"/>
  <c r="D135" i="12"/>
  <c r="D136" i="12"/>
  <c r="D120" i="12"/>
  <c r="D119" i="12"/>
  <c r="D118" i="12"/>
  <c r="D117" i="12"/>
  <c r="D116" i="12"/>
  <c r="D115" i="12"/>
  <c r="D114" i="12"/>
  <c r="D113" i="12"/>
  <c r="D112" i="12"/>
  <c r="D111" i="12"/>
  <c r="D110" i="12"/>
  <c r="D109" i="12"/>
  <c r="D108" i="12"/>
  <c r="D107" i="12"/>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H115" i="12"/>
  <c r="H116" i="12"/>
  <c r="H117" i="12"/>
  <c r="H118" i="12"/>
  <c r="H119" i="12"/>
  <c r="H120" i="12"/>
  <c r="H105" i="12"/>
  <c r="H106" i="12"/>
  <c r="H107" i="12"/>
  <c r="H108" i="12"/>
  <c r="H109" i="12"/>
  <c r="H110" i="12"/>
  <c r="H111" i="12"/>
  <c r="H112" i="12"/>
  <c r="H113" i="12"/>
  <c r="H114"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66" i="12"/>
  <c r="H67" i="12"/>
  <c r="H68" i="12"/>
  <c r="H69" i="12"/>
  <c r="H70" i="12"/>
  <c r="H71" i="12"/>
  <c r="H72" i="12"/>
  <c r="H73" i="12"/>
  <c r="H74" i="12"/>
  <c r="H75" i="12"/>
  <c r="H76" i="12"/>
  <c r="H77" i="12"/>
  <c r="H65" i="12"/>
  <c r="A120" i="12"/>
  <c r="A117" i="12"/>
  <c r="A118" i="12"/>
  <c r="A119" i="12"/>
  <c r="A94" i="12"/>
  <c r="A95" i="12"/>
  <c r="A96" i="12"/>
  <c r="A97" i="12"/>
  <c r="A98" i="12"/>
  <c r="A99" i="12"/>
  <c r="A100" i="12"/>
  <c r="A101" i="12"/>
  <c r="A102" i="12"/>
  <c r="A103" i="12"/>
  <c r="A104" i="12"/>
  <c r="A105" i="12"/>
  <c r="A106" i="12"/>
  <c r="A107" i="12"/>
  <c r="A108" i="12"/>
  <c r="A109" i="12"/>
  <c r="A110" i="12"/>
  <c r="A111" i="12"/>
  <c r="A112" i="12"/>
  <c r="A113" i="12"/>
  <c r="A114" i="12"/>
  <c r="A115" i="12"/>
  <c r="A116"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H64" i="12" l="1"/>
  <c r="H63" i="12"/>
  <c r="H62" i="12"/>
  <c r="H61" i="12"/>
  <c r="H60" i="12"/>
  <c r="H59" i="12"/>
  <c r="H58" i="12"/>
  <c r="H57" i="12"/>
  <c r="H56" i="12"/>
  <c r="H55" i="12"/>
  <c r="H54" i="12"/>
  <c r="H53" i="12"/>
  <c r="H52" i="12"/>
  <c r="H51" i="12"/>
  <c r="H50" i="12"/>
  <c r="H49" i="12"/>
  <c r="H48" i="12"/>
  <c r="H47" i="12"/>
  <c r="H46" i="12"/>
  <c r="H45" i="12"/>
  <c r="H44" i="12"/>
  <c r="H43" i="12"/>
  <c r="H42" i="12"/>
  <c r="H41" i="12"/>
  <c r="H40" i="12"/>
  <c r="H39" i="12"/>
  <c r="H38" i="12"/>
  <c r="H37" i="12"/>
  <c r="H36" i="12"/>
  <c r="H35" i="12"/>
  <c r="H34" i="12"/>
  <c r="H33" i="12"/>
  <c r="H32" i="12"/>
  <c r="H2" i="12"/>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A3" i="12" l="1"/>
  <c r="G3" i="12"/>
  <c r="A4" i="12"/>
  <c r="G4" i="12"/>
  <c r="A5" i="12"/>
  <c r="G5" i="12"/>
  <c r="A6" i="12"/>
  <c r="G6" i="12"/>
  <c r="A7" i="12"/>
  <c r="G7" i="12"/>
  <c r="A8" i="12"/>
  <c r="G8" i="12"/>
  <c r="A9" i="12"/>
  <c r="G9" i="12"/>
  <c r="A10" i="12"/>
  <c r="G10" i="12"/>
  <c r="A11" i="12"/>
  <c r="G11" i="12"/>
  <c r="A12" i="12"/>
  <c r="G12" i="12"/>
  <c r="A13" i="12"/>
  <c r="G13" i="12"/>
  <c r="A14" i="12"/>
  <c r="G14" i="12"/>
  <c r="A15" i="12"/>
  <c r="G15" i="12"/>
  <c r="A16" i="12"/>
  <c r="G16" i="12"/>
  <c r="A17" i="12"/>
  <c r="G17" i="12"/>
  <c r="A18" i="12"/>
  <c r="G18" i="12"/>
  <c r="A19" i="12"/>
  <c r="G19" i="12"/>
  <c r="A20" i="12"/>
  <c r="G20" i="12"/>
  <c r="A21" i="12"/>
  <c r="G21" i="12"/>
  <c r="A22" i="12"/>
  <c r="G22" i="12"/>
  <c r="A23" i="12"/>
  <c r="G23" i="12"/>
  <c r="A24" i="12"/>
  <c r="G24" i="12"/>
  <c r="A25" i="12"/>
  <c r="G25" i="12"/>
  <c r="A26" i="12"/>
  <c r="G26" i="12"/>
  <c r="A27" i="12"/>
  <c r="G27" i="12"/>
  <c r="A28" i="12"/>
  <c r="G28" i="12"/>
  <c r="A29" i="12"/>
  <c r="G29" i="12"/>
  <c r="A30" i="12"/>
  <c r="G30" i="12"/>
  <c r="A31" i="12"/>
  <c r="G31" i="12"/>
  <c r="A2" i="12"/>
  <c r="G2"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4551C9-B773-4B30-94DE-EBBF696A7501}" name="resume" type="4" refreshedVersion="0" background="1">
    <webPr xml="1" sourceData="1" url="C:\Users\UQ94339\Downloads\resume.xml" htmlTables="1" htmlFormat="all"/>
  </connection>
</connections>
</file>

<file path=xl/sharedStrings.xml><?xml version="1.0" encoding="utf-8"?>
<sst xmlns="http://schemas.openxmlformats.org/spreadsheetml/2006/main" count="2504" uniqueCount="1045">
  <si>
    <t>住宅タイプの名称</t>
  </si>
  <si>
    <t>入力責任者</t>
  </si>
  <si>
    <t>住戸の評価方法</t>
  </si>
  <si>
    <t>○○○○邸</t>
  </si>
  <si>
    <t>住戸全体を対象に評価する</t>
  </si>
  <si>
    <t>増改築部分を対象に評価する</t>
  </si>
  <si>
    <t>戸建住宅</t>
    <phoneticPr fontId="1"/>
  </si>
  <si>
    <t>ルート要素</t>
    <rPh sb="3" eb="5">
      <t>ヨウソ</t>
    </rPh>
    <phoneticPr fontId="1"/>
  </si>
  <si>
    <t>House要素</t>
    <rPh sb="5" eb="7">
      <t>ヨウソ</t>
    </rPh>
    <phoneticPr fontId="1"/>
  </si>
  <si>
    <t>1つのXML文書には1つだけ存在</t>
    <rPh sb="14" eb="16">
      <t>ソンザイ</t>
    </rPh>
    <phoneticPr fontId="1"/>
  </si>
  <si>
    <t>基本情報</t>
  </si>
  <si>
    <t>外皮</t>
  </si>
  <si>
    <t>暖房</t>
  </si>
  <si>
    <t>冷房</t>
  </si>
  <si>
    <t>換気</t>
  </si>
  <si>
    <t>熱交換</t>
  </si>
  <si>
    <t>給湯</t>
  </si>
  <si>
    <t>照明</t>
  </si>
  <si>
    <t>太陽光</t>
  </si>
  <si>
    <t>太陽熱</t>
  </si>
  <si>
    <t>コージェネ</t>
  </si>
  <si>
    <r>
      <t>環境を表す</t>
    </r>
    <r>
      <rPr>
        <sz val="11"/>
        <color rgb="FFFF0000"/>
        <rFont val="Yu Gothic UI"/>
        <family val="3"/>
        <charset val="128"/>
      </rPr>
      <t>Environment</t>
    </r>
    <r>
      <rPr>
        <sz val="11"/>
        <color theme="1"/>
        <rFont val="Yu Gothic UI"/>
        <family val="3"/>
        <charset val="128"/>
      </rPr>
      <t>要素</t>
    </r>
    <phoneticPr fontId="1"/>
  </si>
  <si>
    <r>
      <t>暖冷房</t>
    </r>
    <r>
      <rPr>
        <sz val="11"/>
        <color rgb="FFFF0000"/>
        <rFont val="Yu Gothic UI"/>
        <family val="3"/>
        <charset val="128"/>
      </rPr>
      <t>区画</t>
    </r>
    <r>
      <rPr>
        <sz val="11"/>
        <color theme="1"/>
        <rFont val="Yu Gothic UI"/>
        <family val="3"/>
        <charset val="128"/>
      </rPr>
      <t>を表す</t>
    </r>
    <r>
      <rPr>
        <sz val="11"/>
        <color rgb="FFFF0000"/>
        <rFont val="Yu Gothic UI"/>
        <family val="3"/>
        <charset val="128"/>
      </rPr>
      <t>Zones/Zone</t>
    </r>
    <r>
      <rPr>
        <sz val="11"/>
        <color theme="1"/>
        <rFont val="Yu Gothic UI"/>
        <family val="3"/>
        <charset val="128"/>
      </rPr>
      <t>要素</t>
    </r>
    <phoneticPr fontId="1"/>
  </si>
  <si>
    <r>
      <t>外皮を表す</t>
    </r>
    <r>
      <rPr>
        <sz val="11"/>
        <color rgb="FFFF0000"/>
        <rFont val="Yu Gothic UI"/>
        <family val="3"/>
        <charset val="128"/>
      </rPr>
      <t>Envelope</t>
    </r>
    <r>
      <rPr>
        <sz val="11"/>
        <color theme="1"/>
        <rFont val="Yu Gothic UI"/>
        <family val="3"/>
        <charset val="128"/>
      </rPr>
      <t>要素、暖房設備を表す</t>
    </r>
    <r>
      <rPr>
        <sz val="11"/>
        <color rgb="FFFF0000"/>
        <rFont val="Yu Gothic UI"/>
        <family val="3"/>
        <charset val="128"/>
      </rPr>
      <t>Heating</t>
    </r>
    <r>
      <rPr>
        <sz val="11"/>
        <color theme="1"/>
        <rFont val="Yu Gothic UI"/>
        <family val="3"/>
        <charset val="128"/>
      </rPr>
      <t>要素</t>
    </r>
    <phoneticPr fontId="1"/>
  </si>
  <si>
    <r>
      <t>冷房設備を表す</t>
    </r>
    <r>
      <rPr>
        <sz val="11"/>
        <color rgb="FFFF0000"/>
        <rFont val="Yu Gothic UI"/>
        <family val="3"/>
        <charset val="128"/>
      </rPr>
      <t>Cooling</t>
    </r>
    <r>
      <rPr>
        <sz val="11"/>
        <color theme="1"/>
        <rFont val="Yu Gothic UI"/>
        <family val="3"/>
        <charset val="128"/>
      </rPr>
      <t>要素</t>
    </r>
    <phoneticPr fontId="1"/>
  </si>
  <si>
    <r>
      <t>換気設備を表す</t>
    </r>
    <r>
      <rPr>
        <sz val="11"/>
        <color rgb="FFFF0000"/>
        <rFont val="Yu Gothic UI"/>
        <family val="3"/>
        <charset val="128"/>
      </rPr>
      <t>Ventilation</t>
    </r>
    <r>
      <rPr>
        <sz val="11"/>
        <color theme="1"/>
        <rFont val="Yu Gothic UI"/>
        <family val="3"/>
        <charset val="128"/>
      </rPr>
      <t>要素</t>
    </r>
    <phoneticPr fontId="1"/>
  </si>
  <si>
    <r>
      <t>給湯設備を表す</t>
    </r>
    <r>
      <rPr>
        <sz val="11"/>
        <color rgb="FFFF0000"/>
        <rFont val="Yu Gothic UI"/>
        <family val="3"/>
        <charset val="128"/>
      </rPr>
      <t>Hotwater</t>
    </r>
    <r>
      <rPr>
        <sz val="11"/>
        <color theme="1"/>
        <rFont val="Yu Gothic UI"/>
        <family val="3"/>
        <charset val="128"/>
      </rPr>
      <t>要素</t>
    </r>
    <phoneticPr fontId="1"/>
  </si>
  <si>
    <r>
      <t>照明設備を表す</t>
    </r>
    <r>
      <rPr>
        <sz val="11"/>
        <color rgb="FFFF0000"/>
        <rFont val="Yu Gothic UI"/>
        <family val="3"/>
        <charset val="128"/>
      </rPr>
      <t>Lighting/LightingZone</t>
    </r>
    <r>
      <rPr>
        <sz val="11"/>
        <color theme="1"/>
        <rFont val="Yu Gothic UI"/>
        <family val="3"/>
        <charset val="128"/>
      </rPr>
      <t>要素</t>
    </r>
    <phoneticPr fontId="1"/>
  </si>
  <si>
    <r>
      <t>太陽光発電設備を表す</t>
    </r>
    <r>
      <rPr>
        <sz val="11"/>
        <color rgb="FFFF0000"/>
        <rFont val="Yu Gothic UI"/>
        <family val="3"/>
        <charset val="128"/>
      </rPr>
      <t>Photovoltaic</t>
    </r>
    <r>
      <rPr>
        <sz val="11"/>
        <color theme="1"/>
        <rFont val="Yu Gothic UI"/>
        <family val="3"/>
        <charset val="128"/>
      </rPr>
      <t>要素</t>
    </r>
    <phoneticPr fontId="1"/>
  </si>
  <si>
    <r>
      <t>コージェネレーション設備を表す</t>
    </r>
    <r>
      <rPr>
        <sz val="11"/>
        <color rgb="FFFF0000"/>
        <rFont val="Yu Gothic UI"/>
        <family val="3"/>
        <charset val="128"/>
      </rPr>
      <t>CogenerationUnit</t>
    </r>
    <r>
      <rPr>
        <sz val="11"/>
        <color theme="1"/>
        <rFont val="Yu Gothic UI"/>
        <family val="3"/>
        <charset val="128"/>
      </rPr>
      <t>要素</t>
    </r>
    <phoneticPr fontId="1"/>
  </si>
  <si>
    <r>
      <t>空気集熱式太陽熱利用設備を表す</t>
    </r>
    <r>
      <rPr>
        <sz val="11"/>
        <color rgb="FFFF0000"/>
        <rFont val="Yu Gothic UI"/>
        <family val="3"/>
        <charset val="128"/>
      </rPr>
      <t>AirBasedSolarSystem</t>
    </r>
    <r>
      <rPr>
        <sz val="11"/>
        <color theme="1"/>
        <rFont val="Yu Gothic UI"/>
        <family val="3"/>
        <charset val="128"/>
      </rPr>
      <t>要素</t>
    </r>
    <phoneticPr fontId="1"/>
  </si>
  <si>
    <t>居室の構成</t>
  </si>
  <si>
    <t>地域の区分</t>
  </si>
  <si>
    <t>年間の日射地域区分の指定</t>
  </si>
  <si>
    <t>年間の日射地域区分</t>
  </si>
  <si>
    <t>三菱太郎</t>
    <rPh sb="0" eb="2">
      <t>ミツビシ</t>
    </rPh>
    <rPh sb="2" eb="4">
      <t>タロウ</t>
    </rPh>
    <phoneticPr fontId="1"/>
  </si>
  <si>
    <t>主たる居室とその他の居室、非居室で構成される</t>
  </si>
  <si>
    <t>上記以外の構成</t>
  </si>
  <si>
    <t>主たる居室</t>
  </si>
  <si>
    <t>その他の居室</t>
  </si>
  <si>
    <t>合計</t>
  </si>
  <si>
    <t>1地域</t>
  </si>
  <si>
    <t>2地域</t>
  </si>
  <si>
    <t>3地域</t>
  </si>
  <si>
    <t>4地域</t>
  </si>
  <si>
    <t>5地域</t>
  </si>
  <si>
    <t>6地域</t>
  </si>
  <si>
    <t>7地域</t>
  </si>
  <si>
    <t>8地域</t>
  </si>
  <si>
    <t>指定しない</t>
  </si>
  <si>
    <t>A1区分（年間の日射量が特に少ない地域）</t>
  </si>
  <si>
    <t>A2区分（年間の日射量が少ない地域）</t>
  </si>
  <si>
    <t>A3区分（年間の日射量が中程度の地域）</t>
  </si>
  <si>
    <t>A4区分（年間の日射量が多い地域）</t>
  </si>
  <si>
    <t>A5区分（年間の日射量が特に多い地域）</t>
  </si>
  <si>
    <t>指定する</t>
    <phoneticPr fontId="1"/>
  </si>
  <si>
    <t>住宅の建て方</t>
    <phoneticPr fontId="1"/>
  </si>
  <si>
    <t>m2 (小数点以下2桁)</t>
  </si>
  <si>
    <t>外皮</t>
    <rPh sb="0" eb="2">
      <t>ガイヒ</t>
    </rPh>
    <phoneticPr fontId="1"/>
  </si>
  <si>
    <t>外皮性能の評価方法</t>
  </si>
  <si>
    <t>外皮平均熱貫流率（UA）</t>
  </si>
  <si>
    <t>冷房期の平均日射熱取得率（ηAC）</t>
  </si>
  <si>
    <t>暖房期の平均日射熱取得率（ηAH）</t>
  </si>
  <si>
    <t>蓄熱の利用</t>
  </si>
  <si>
    <t>床下空間を経由して外気を導入する換気方式の利用</t>
  </si>
  <si>
    <t>当該住戸の外皮面積を用いて外皮性能を評価する</t>
  </si>
  <si>
    <t>仕様基準により外皮性能を評価する</t>
  </si>
  <si>
    <t>誘導仕様基準により外皮性能を評価する（住戸全体を対象に評価）</t>
  </si>
  <si>
    <t>誘導仕様基準により外皮性能を評価する（増改築部分を対象に評価）</t>
  </si>
  <si>
    <t>外皮面積の合計</t>
  </si>
  <si>
    <t>W/m2K (小数点以下2桁)</t>
  </si>
  <si>
    <t>- (小数点以下1桁)</t>
  </si>
  <si>
    <t>評価しない、または利用しない</t>
  </si>
  <si>
    <t>評価しない、または利用しない</t>
    <phoneticPr fontId="1"/>
  </si>
  <si>
    <t>利用する</t>
    <phoneticPr fontId="1"/>
  </si>
  <si>
    <t>通年利用する</t>
  </si>
  <si>
    <t>通年利用する</t>
    <phoneticPr fontId="1"/>
  </si>
  <si>
    <t>外気が経由する床下の面積の割合</t>
    <phoneticPr fontId="1"/>
  </si>
  <si>
    <t>% (整数)</t>
  </si>
  <si>
    <t>床下空間の断熱</t>
  </si>
  <si>
    <t>断熱区画外</t>
  </si>
  <si>
    <t>断熱区画内</t>
  </si>
  <si>
    <t>UAValue属性</t>
  </si>
  <si>
    <t>WinterHAValue属性</t>
  </si>
  <si>
    <t>SummerHAValue属性</t>
  </si>
  <si>
    <t>UnderFloorVentilation属性</t>
  </si>
  <si>
    <t>UnderFloorVentilationAreaRate属性</t>
  </si>
  <si>
    <t>UnderFloorInsulation属性</t>
  </si>
  <si>
    <t>HeatStorage属性</t>
    <phoneticPr fontId="1"/>
  </si>
  <si>
    <t>NaturalWind属性</t>
  </si>
  <si>
    <t>TotalEnvelopeArea属性</t>
    <phoneticPr fontId="1"/>
  </si>
  <si>
    <t>暖房方式</t>
  </si>
  <si>
    <t>居室のみを暖房する</t>
  </si>
  <si>
    <t>住戸全体を暖房する</t>
  </si>
  <si>
    <t>設置しない</t>
  </si>
  <si>
    <t>ルームエアコンディショナー</t>
  </si>
  <si>
    <t>基準値の算定において想定される機器（増改築部分を対象に評価する場合の基準設定仕様）</t>
  </si>
  <si>
    <t>入力しない（規定値を用いる）</t>
  </si>
  <si>
    <t>入力する</t>
  </si>
  <si>
    <t>評価しない</t>
  </si>
  <si>
    <t>温水暖房機の種類</t>
  </si>
  <si>
    <t>ガス従来型温水暖房機</t>
  </si>
  <si>
    <t>ガス潜熱回収型温水暖房機</t>
  </si>
  <si>
    <t>石油従来型温水暖房機</t>
  </si>
  <si>
    <t>石油潜熱回収型温水暖房機</t>
  </si>
  <si>
    <t>電気ヒートポンプ温水暖房機（フロン系冷媒）</t>
  </si>
  <si>
    <t>電気ヒーター温水暖房機</t>
  </si>
  <si>
    <t>地中熱ヒートポンプ温水暖房機</t>
  </si>
  <si>
    <t>給湯・温水暖房一体型</t>
  </si>
  <si>
    <t>コージェネレーション</t>
  </si>
  <si>
    <t>その他の温水暖房機</t>
  </si>
  <si>
    <t>温水暖房機を設置しない</t>
  </si>
  <si>
    <t>エネルギー消費効率の入力</t>
  </si>
  <si>
    <t>断熱配管</t>
  </si>
  <si>
    <t>評価しない、または採用しない</t>
  </si>
  <si>
    <t>採用する</t>
  </si>
  <si>
    <t>配管が通過する空間</t>
  </si>
  <si>
    <t>評価しない、または全てもしくは一部が断熱区画外である</t>
  </si>
  <si>
    <t>全て断熱区画内である</t>
  </si>
  <si>
    <t>暖房設備機器の種類</t>
  </si>
  <si>
    <t>ダクト式セントラル空調機（ヒートポンプ式熱源）</t>
  </si>
  <si>
    <t>ダクトが通過する空間</t>
  </si>
  <si>
    <t>VAV方式</t>
  </si>
  <si>
    <t>採用しない</t>
  </si>
  <si>
    <t>全般換気機能</t>
  </si>
  <si>
    <t>全般換気機能あり</t>
  </si>
  <si>
    <t>全般換気機能なし</t>
  </si>
  <si>
    <t>機器の仕様の入力</t>
  </si>
  <si>
    <t>定格能力試験の値を入力する</t>
  </si>
  <si>
    <t>定格能力試験と中間能力試験の値を入力する</t>
  </si>
  <si>
    <t>設計風量の入力</t>
  </si>
  <si>
    <t>kW (小数点以下1桁)</t>
  </si>
  <si>
    <t>% (小数点以下1桁)</t>
  </si>
  <si>
    <t>Wh (整数)</t>
  </si>
  <si>
    <t>W (整数)</t>
  </si>
  <si>
    <t>テキスト入力</t>
    <rPh sb="4" eb="6">
      <t>ニュウリョク</t>
    </rPh>
    <phoneticPr fontId="1"/>
  </si>
  <si>
    <t>共同住宅</t>
    <phoneticPr fontId="1"/>
  </si>
  <si>
    <t>値</t>
    <rPh sb="0" eb="1">
      <t>アタイ</t>
    </rPh>
    <phoneticPr fontId="1"/>
  </si>
  <si>
    <t>床面積-主たる居室</t>
    <phoneticPr fontId="1"/>
  </si>
  <si>
    <t>床面積-その他の居室</t>
    <phoneticPr fontId="1"/>
  </si>
  <si>
    <t>床面積-合計</t>
    <phoneticPr fontId="1"/>
  </si>
  <si>
    <t>単位など</t>
    <rPh sb="0" eb="2">
      <t>タンイ</t>
    </rPh>
    <phoneticPr fontId="1"/>
  </si>
  <si>
    <t>基本-01</t>
    <rPh sb="0" eb="2">
      <t>キホン</t>
    </rPh>
    <phoneticPr fontId="1"/>
  </si>
  <si>
    <t>基本03_住宅の建て方</t>
  </si>
  <si>
    <t>基本03_住宅の建て方</t>
    <phoneticPr fontId="1"/>
  </si>
  <si>
    <t>基本01_住宅タイプの名称</t>
    <phoneticPr fontId="1"/>
  </si>
  <si>
    <t>基本02_入力責任者</t>
    <phoneticPr fontId="1"/>
  </si>
  <si>
    <t>基本04_住戸の評価方法</t>
  </si>
  <si>
    <t>基本04_住戸の評価方法</t>
    <phoneticPr fontId="1"/>
  </si>
  <si>
    <t>基本05_居室の構成</t>
    <phoneticPr fontId="1"/>
  </si>
  <si>
    <t>基本06_床面積</t>
    <phoneticPr fontId="1"/>
  </si>
  <si>
    <t>基本08_年間の日射地域区分の指定</t>
    <phoneticPr fontId="1"/>
  </si>
  <si>
    <t>基本09_年間の日射地域区分</t>
    <phoneticPr fontId="1"/>
  </si>
  <si>
    <t>基本07_地域の区分</t>
    <phoneticPr fontId="1"/>
  </si>
  <si>
    <t>設定項目</t>
    <rPh sb="0" eb="2">
      <t>セッテイ</t>
    </rPh>
    <rPh sb="2" eb="4">
      <t>コウモク</t>
    </rPh>
    <phoneticPr fontId="1"/>
  </si>
  <si>
    <t>TriggerValue</t>
    <phoneticPr fontId="1"/>
  </si>
  <si>
    <t>戸建住宅</t>
  </si>
  <si>
    <t>No.</t>
    <phoneticPr fontId="1"/>
  </si>
  <si>
    <t>1.基本情報</t>
    <rPh sb="2" eb="4">
      <t>キホン</t>
    </rPh>
    <rPh sb="4" eb="6">
      <t>ジョウホウ</t>
    </rPh>
    <phoneticPr fontId="1"/>
  </si>
  <si>
    <t>TriggerCellName</t>
    <phoneticPr fontId="1"/>
  </si>
  <si>
    <t>必要な機能</t>
    <rPh sb="0" eb="2">
      <t>ヒツヨウ</t>
    </rPh>
    <rPh sb="3" eb="5">
      <t>キノウ</t>
    </rPh>
    <phoneticPr fontId="1"/>
  </si>
  <si>
    <t>プルダウンから選択→色変更</t>
    <rPh sb="7" eb="9">
      <t>センタク</t>
    </rPh>
    <rPh sb="10" eb="13">
      <t>イロヘンコウ</t>
    </rPh>
    <phoneticPr fontId="1"/>
  </si>
  <si>
    <t>現在のシート名を取得</t>
    <rPh sb="0" eb="2">
      <t>ゲンザイ</t>
    </rPh>
    <rPh sb="6" eb="7">
      <t>メイ</t>
    </rPh>
    <rPh sb="8" eb="10">
      <t>シュトク</t>
    </rPh>
    <phoneticPr fontId="1"/>
  </si>
  <si>
    <t>選択されたリストを取得</t>
    <rPh sb="0" eb="2">
      <t>センタク</t>
    </rPh>
    <rPh sb="9" eb="11">
      <t>シュトク</t>
    </rPh>
    <phoneticPr fontId="1"/>
  </si>
  <si>
    <t>ターゲットセルを取得</t>
    <rPh sb="8" eb="10">
      <t>シュトク</t>
    </rPh>
    <phoneticPr fontId="1"/>
  </si>
  <si>
    <t>Test = ActiveSheet.Name</t>
    <phoneticPr fontId="1"/>
  </si>
  <si>
    <t>処理に必要なセル</t>
    <rPh sb="0" eb="2">
      <t>ショリ</t>
    </rPh>
    <rPh sb="3" eb="5">
      <t>ヒツヨウ</t>
    </rPh>
    <phoneticPr fontId="1"/>
  </si>
  <si>
    <t>入力書式</t>
    <rPh sb="0" eb="2">
      <t>ニュウリョク</t>
    </rPh>
    <rPh sb="2" eb="4">
      <t>ショシキ</t>
    </rPh>
    <phoneticPr fontId="1"/>
  </si>
  <si>
    <t>条件付き書式（VBA）</t>
    <rPh sb="0" eb="2">
      <t>ジョウケン</t>
    </rPh>
    <rPh sb="2" eb="3">
      <t>ツ</t>
    </rPh>
    <rPh sb="4" eb="6">
      <t>ショシキ</t>
    </rPh>
    <phoneticPr fontId="1"/>
  </si>
  <si>
    <t>共同住宅</t>
  </si>
  <si>
    <t>基本</t>
  </si>
  <si>
    <t>基本</t>
    <phoneticPr fontId="1"/>
  </si>
  <si>
    <t>三菱太郎</t>
  </si>
  <si>
    <t>指定する</t>
  </si>
  <si>
    <t xml:space="preserve">memo </t>
    <phoneticPr fontId="1"/>
  </si>
  <si>
    <t>基本08_床面積</t>
    <phoneticPr fontId="1"/>
  </si>
  <si>
    <t>その他の居室の有無</t>
    <phoneticPr fontId="1"/>
  </si>
  <si>
    <t>非居室の有無</t>
    <phoneticPr fontId="1"/>
  </si>
  <si>
    <t>基本06_その他の居室の有無</t>
    <phoneticPr fontId="1"/>
  </si>
  <si>
    <t>基本07_非居室の有無</t>
    <phoneticPr fontId="1"/>
  </si>
  <si>
    <t>基本09_床面積</t>
    <phoneticPr fontId="1"/>
  </si>
  <si>
    <t>基本10_床面積</t>
    <phoneticPr fontId="1"/>
  </si>
  <si>
    <t>基本11_地域の区分</t>
    <phoneticPr fontId="1"/>
  </si>
  <si>
    <t>基本12_年間の日射地域区分の指定</t>
    <phoneticPr fontId="1"/>
  </si>
  <si>
    <t>基本13_年間の日射地域区分</t>
    <phoneticPr fontId="1"/>
  </si>
  <si>
    <t>指定しない</t>
    <phoneticPr fontId="1"/>
  </si>
  <si>
    <t>基本12</t>
    <phoneticPr fontId="1"/>
  </si>
  <si>
    <t>基本12, 基本13</t>
  </si>
  <si>
    <t>基本12, 基本13</t>
    <phoneticPr fontId="1"/>
  </si>
  <si>
    <t>有（その他の居室）</t>
    <rPh sb="0" eb="1">
      <t>アリ</t>
    </rPh>
    <phoneticPr fontId="1"/>
  </si>
  <si>
    <t>無（その他の居室）</t>
    <rPh sb="0" eb="1">
      <t>ナシ</t>
    </rPh>
    <phoneticPr fontId="1"/>
  </si>
  <si>
    <t>有（非居室）</t>
    <rPh sb="0" eb="1">
      <t>アリ</t>
    </rPh>
    <phoneticPr fontId="1"/>
  </si>
  <si>
    <t>無（非居室）</t>
    <rPh sb="0" eb="1">
      <t>ナシ</t>
    </rPh>
    <phoneticPr fontId="1"/>
  </si>
  <si>
    <t>一旦、非表示にするRow</t>
    <rPh sb="0" eb="2">
      <t>イッタン</t>
    </rPh>
    <rPh sb="3" eb="6">
      <t>ヒヒョウジ</t>
    </rPh>
    <phoneticPr fontId="1"/>
  </si>
  <si>
    <t>表示するRow／TargetCellName</t>
    <rPh sb="0" eb="2">
      <t>ヒョウジ</t>
    </rPh>
    <phoneticPr fontId="1"/>
  </si>
  <si>
    <t>基本08, 基本09, 基本10</t>
    <phoneticPr fontId="1"/>
  </si>
  <si>
    <t>基本08, 基本10</t>
    <phoneticPr fontId="1"/>
  </si>
  <si>
    <t>基本06, 基本07, 基本08, 基本09, 基本10, 基本11, 基本12</t>
    <phoneticPr fontId="1"/>
  </si>
  <si>
    <t>基本08, 基本09, 基本10, 基本11, 基本12</t>
    <phoneticPr fontId="1"/>
  </si>
  <si>
    <t>基本05, 基本08, 基本09, 基本10, 基本11, 基本12</t>
    <phoneticPr fontId="1"/>
  </si>
  <si>
    <t>基本11, 基本12</t>
    <phoneticPr fontId="1"/>
  </si>
  <si>
    <t>基本08, 基本09, 基本10</t>
  </si>
  <si>
    <t>基本11</t>
  </si>
  <si>
    <t>計算用シート</t>
    <rPh sb="0" eb="3">
      <t>ケイサンヨウ</t>
    </rPh>
    <phoneticPr fontId="1"/>
  </si>
  <si>
    <t>基本01</t>
    <rPh sb="0" eb="1">
      <t>キホン</t>
    </rPh>
    <phoneticPr fontId="1"/>
  </si>
  <si>
    <t>基本02</t>
    <phoneticPr fontId="1"/>
  </si>
  <si>
    <t>基本03</t>
  </si>
  <si>
    <t>基本04</t>
  </si>
  <si>
    <t>基本05</t>
  </si>
  <si>
    <t>基本06</t>
  </si>
  <si>
    <t>基本07</t>
  </si>
  <si>
    <t>基本08</t>
  </si>
  <si>
    <t>基本09</t>
  </si>
  <si>
    <t>基本10</t>
  </si>
  <si>
    <t>基本13</t>
    <phoneticPr fontId="1"/>
  </si>
  <si>
    <t>RowID</t>
    <phoneticPr fontId="1"/>
  </si>
  <si>
    <t>基本06, 基本07, 基本08, 基本09, 基本10, 基本11, 基本12</t>
  </si>
  <si>
    <t>基本05, 基本08, 基本09, 基本10, 基本11, 基本12</t>
  </si>
  <si>
    <t>日付</t>
    <rPh sb="0" eb="2">
      <t>ヒヅケ</t>
    </rPh>
    <phoneticPr fontId="1"/>
  </si>
  <si>
    <t>分類</t>
    <rPh sb="0" eb="2">
      <t>ブンルイ</t>
    </rPh>
    <phoneticPr fontId="1"/>
  </si>
  <si>
    <t>内容</t>
    <rPh sb="0" eb="2">
      <t>ナイヨウ</t>
    </rPh>
    <phoneticPr fontId="1"/>
  </si>
  <si>
    <t>関数</t>
    <rPh sb="0" eb="2">
      <t>カンスウ</t>
    </rPh>
    <phoneticPr fontId="1"/>
  </si>
  <si>
    <t>数字を2桁表示にする関数⇒ TEXT(ROW()-1,"00")</t>
    <rPh sb="0" eb="2">
      <t>スウジ</t>
    </rPh>
    <rPh sb="4" eb="5">
      <t>ケタ</t>
    </rPh>
    <rPh sb="5" eb="7">
      <t>ヒョウジ</t>
    </rPh>
    <rPh sb="10" eb="12">
      <t>カンスウ</t>
    </rPh>
    <phoneticPr fontId="1"/>
  </si>
  <si>
    <t>ID</t>
    <phoneticPr fontId="1"/>
  </si>
  <si>
    <t>大分類</t>
    <rPh sb="0" eb="3">
      <t>ダイブンルイ</t>
    </rPh>
    <phoneticPr fontId="1"/>
  </si>
  <si>
    <t>セル内容を作成する</t>
    <rPh sb="2" eb="4">
      <t>ナイヨウ</t>
    </rPh>
    <rPh sb="5" eb="7">
      <t>サクセイ</t>
    </rPh>
    <phoneticPr fontId="1"/>
  </si>
  <si>
    <t>基本情報</t>
    <rPh sb="0" eb="4">
      <t>キホンジョウホウ</t>
    </rPh>
    <phoneticPr fontId="1"/>
  </si>
  <si>
    <t>暖房</t>
    <rPh sb="0" eb="2">
      <t>ダンボウ</t>
    </rPh>
    <phoneticPr fontId="1"/>
  </si>
  <si>
    <t>冷房</t>
    <rPh sb="0" eb="2">
      <t>レイボウ</t>
    </rPh>
    <phoneticPr fontId="1"/>
  </si>
  <si>
    <t>換気</t>
    <rPh sb="0" eb="2">
      <t>カンキ</t>
    </rPh>
    <phoneticPr fontId="1"/>
  </si>
  <si>
    <t>熱交換</t>
    <rPh sb="0" eb="3">
      <t>ネツコウカン</t>
    </rPh>
    <phoneticPr fontId="1"/>
  </si>
  <si>
    <t>給湯</t>
    <rPh sb="0" eb="2">
      <t>キュウトウ</t>
    </rPh>
    <phoneticPr fontId="1"/>
  </si>
  <si>
    <t>照明</t>
    <rPh sb="0" eb="2">
      <t>ショウメイ</t>
    </rPh>
    <phoneticPr fontId="1"/>
  </si>
  <si>
    <t>太陽光</t>
    <rPh sb="0" eb="3">
      <t>タイヨウコウ</t>
    </rPh>
    <phoneticPr fontId="1"/>
  </si>
  <si>
    <t>太陽熱</t>
    <rPh sb="0" eb="3">
      <t>タイヨウネツ</t>
    </rPh>
    <phoneticPr fontId="1"/>
  </si>
  <si>
    <t>コージュネ</t>
    <phoneticPr fontId="1"/>
  </si>
  <si>
    <t>計算用シートを新規作成する</t>
    <rPh sb="0" eb="3">
      <t>ケイサンヨウ</t>
    </rPh>
    <rPh sb="7" eb="9">
      <t>シンキ</t>
    </rPh>
    <rPh sb="9" eb="11">
      <t>サクセイ</t>
    </rPh>
    <phoneticPr fontId="1"/>
  </si>
  <si>
    <t>02_外皮</t>
    <rPh sb="3" eb="5">
      <t>ガイヒ</t>
    </rPh>
    <phoneticPr fontId="1"/>
  </si>
  <si>
    <t>外皮01</t>
    <rPh sb="0" eb="2">
      <t>ガイヒ</t>
    </rPh>
    <phoneticPr fontId="1"/>
  </si>
  <si>
    <t>外皮02</t>
  </si>
  <si>
    <t>外皮02</t>
    <phoneticPr fontId="1"/>
  </si>
  <si>
    <t>外皮03</t>
  </si>
  <si>
    <t>外皮03</t>
    <phoneticPr fontId="1"/>
  </si>
  <si>
    <t>外皮04</t>
  </si>
  <si>
    <t>外皮04</t>
    <phoneticPr fontId="1"/>
  </si>
  <si>
    <t>外皮05</t>
  </si>
  <si>
    <t>外皮05</t>
    <phoneticPr fontId="1"/>
  </si>
  <si>
    <t>外皮01_外皮性能の評価方法</t>
    <phoneticPr fontId="1"/>
  </si>
  <si>
    <t>外皮02_外皮面積の合計</t>
    <phoneticPr fontId="1"/>
  </si>
  <si>
    <t>外皮04_蓄熱の利用</t>
    <phoneticPr fontId="1"/>
  </si>
  <si>
    <t>外皮05_床下空間を経由して外気を導入する換気方式の利用</t>
    <phoneticPr fontId="1"/>
  </si>
  <si>
    <t>外皮05_外気が経由する床下の面積の割合</t>
    <phoneticPr fontId="1"/>
  </si>
  <si>
    <t>外皮05_床下空間の断熱</t>
    <phoneticPr fontId="1"/>
  </si>
  <si>
    <t>外皮02_外皮平均熱貫流率</t>
    <phoneticPr fontId="1"/>
  </si>
  <si>
    <t>外皮02_冷房期の平均日射熱取得率</t>
    <phoneticPr fontId="1"/>
  </si>
  <si>
    <t>入力規則</t>
    <rPh sb="0" eb="2">
      <t>ニュウリョク</t>
    </rPh>
    <rPh sb="2" eb="4">
      <t>キソク</t>
    </rPh>
    <phoneticPr fontId="1"/>
  </si>
  <si>
    <t>セル名に使用できない文字⇒ 括弧</t>
    <rPh sb="2" eb="3">
      <t>メイ</t>
    </rPh>
    <rPh sb="4" eb="6">
      <t>シヨウ</t>
    </rPh>
    <rPh sb="10" eb="12">
      <t>モジ</t>
    </rPh>
    <rPh sb="14" eb="16">
      <t>カッコ</t>
    </rPh>
    <phoneticPr fontId="1"/>
  </si>
  <si>
    <t>外皮02</t>
    <rPh sb="0" eb="2">
      <t>ガイヒ</t>
    </rPh>
    <phoneticPr fontId="1"/>
  </si>
  <si>
    <t>外皮03</t>
    <rPh sb="0" eb="2">
      <t>ガイヒ</t>
    </rPh>
    <phoneticPr fontId="1"/>
  </si>
  <si>
    <t>外皮04</t>
    <rPh sb="0" eb="2">
      <t>ガイヒ</t>
    </rPh>
    <phoneticPr fontId="1"/>
  </si>
  <si>
    <t>外皮05</t>
    <rPh sb="0" eb="2">
      <t>ガイヒ</t>
    </rPh>
    <phoneticPr fontId="1"/>
  </si>
  <si>
    <t>外皮06</t>
    <rPh sb="0" eb="2">
      <t>ガイヒ</t>
    </rPh>
    <phoneticPr fontId="1"/>
  </si>
  <si>
    <t>外皮07</t>
    <rPh sb="0" eb="2">
      <t>ガイヒ</t>
    </rPh>
    <phoneticPr fontId="1"/>
  </si>
  <si>
    <t>外皮08</t>
    <rPh sb="0" eb="2">
      <t>ガイヒ</t>
    </rPh>
    <phoneticPr fontId="1"/>
  </si>
  <si>
    <t>外皮09</t>
    <rPh sb="0" eb="2">
      <t>ガイヒ</t>
    </rPh>
    <phoneticPr fontId="1"/>
  </si>
  <si>
    <t>外皮10</t>
    <rPh sb="0" eb="2">
      <t>ガイヒ</t>
    </rPh>
    <phoneticPr fontId="1"/>
  </si>
  <si>
    <t>通風の利用-主たる居室</t>
    <phoneticPr fontId="1"/>
  </si>
  <si>
    <t>外皮11</t>
    <rPh sb="0" eb="2">
      <t>ガイヒ</t>
    </rPh>
    <phoneticPr fontId="1"/>
  </si>
  <si>
    <t>通風の利用-その他の居室</t>
    <phoneticPr fontId="1"/>
  </si>
  <si>
    <t>外皮03_通風の利用_主たる居室</t>
    <rPh sb="11" eb="12">
      <t>シュ</t>
    </rPh>
    <rPh sb="14" eb="16">
      <t>キョシツ</t>
    </rPh>
    <phoneticPr fontId="1"/>
  </si>
  <si>
    <t>外皮03_通風の利用_その他の居室</t>
    <rPh sb="13" eb="14">
      <t>ホカ</t>
    </rPh>
    <rPh sb="15" eb="17">
      <t>キョシツ</t>
    </rPh>
    <phoneticPr fontId="1"/>
  </si>
  <si>
    <t>外皮02_暖房期の平均日射熱取得率</t>
  </si>
  <si>
    <t>利用する</t>
  </si>
  <si>
    <t>Sheet</t>
    <phoneticPr fontId="1"/>
  </si>
  <si>
    <t>6地域</t>
    <phoneticPr fontId="1"/>
  </si>
  <si>
    <t>外皮02, 外皮03, 外皮04, 外皮05, 外皮06, 外皮07, 外皮08, 外皮09</t>
    <phoneticPr fontId="1"/>
  </si>
  <si>
    <t>外皮06, 外皮07, 外皮08, 外皮09</t>
    <phoneticPr fontId="1"/>
  </si>
  <si>
    <t>10</t>
  </si>
  <si>
    <t>3.0</t>
  </si>
  <si>
    <t>3.0</t>
    <phoneticPr fontId="1"/>
  </si>
  <si>
    <t>外皮03, 外皮04, 外皮05, 外皮06, 外皮07, 外皮08, 外皮09</t>
    <phoneticPr fontId="1"/>
  </si>
  <si>
    <t>0.60</t>
  </si>
  <si>
    <t>0.60</t>
    <phoneticPr fontId="1"/>
  </si>
  <si>
    <t>0.87</t>
  </si>
  <si>
    <t>0.87</t>
    <phoneticPr fontId="1"/>
  </si>
  <si>
    <t>307.51</t>
  </si>
  <si>
    <t>307.51</t>
    <phoneticPr fontId="1"/>
  </si>
  <si>
    <t>2.8</t>
  </si>
  <si>
    <t>2.8</t>
    <phoneticPr fontId="1"/>
  </si>
  <si>
    <t>1.7</t>
  </si>
  <si>
    <t>1.7</t>
    <phoneticPr fontId="1"/>
  </si>
  <si>
    <t>4.3</t>
  </si>
  <si>
    <t>4.3</t>
    <phoneticPr fontId="1"/>
  </si>
  <si>
    <t>外皮10, 外皮11</t>
    <phoneticPr fontId="1"/>
  </si>
  <si>
    <t>暖房01</t>
    <rPh sb="0" eb="2">
      <t>ダンボウ</t>
    </rPh>
    <phoneticPr fontId="1"/>
  </si>
  <si>
    <t>暖房02</t>
    <rPh sb="0" eb="2">
      <t>ダンボウ</t>
    </rPh>
    <phoneticPr fontId="1"/>
  </si>
  <si>
    <t>暖房03</t>
    <rPh sb="0" eb="2">
      <t>ダンボウ</t>
    </rPh>
    <phoneticPr fontId="1"/>
  </si>
  <si>
    <t>暖房04</t>
    <rPh sb="0" eb="2">
      <t>ダンボウ</t>
    </rPh>
    <phoneticPr fontId="1"/>
  </si>
  <si>
    <t>暖房05</t>
    <rPh sb="0" eb="2">
      <t>ダンボウ</t>
    </rPh>
    <phoneticPr fontId="1"/>
  </si>
  <si>
    <t>暖房06</t>
    <rPh sb="0" eb="2">
      <t>ダンボウ</t>
    </rPh>
    <phoneticPr fontId="1"/>
  </si>
  <si>
    <t>暖房07</t>
    <rPh sb="0" eb="2">
      <t>ダンボウ</t>
    </rPh>
    <phoneticPr fontId="1"/>
  </si>
  <si>
    <t>暖房08</t>
    <rPh sb="0" eb="2">
      <t>ダンボウ</t>
    </rPh>
    <phoneticPr fontId="1"/>
  </si>
  <si>
    <t>暖房09</t>
    <rPh sb="0" eb="2">
      <t>ダンボウ</t>
    </rPh>
    <phoneticPr fontId="1"/>
  </si>
  <si>
    <t>暖房10</t>
    <rPh sb="0" eb="2">
      <t>ダンボウ</t>
    </rPh>
    <phoneticPr fontId="1"/>
  </si>
  <si>
    <t>暖房11</t>
    <rPh sb="0" eb="2">
      <t>ダンボウ</t>
    </rPh>
    <phoneticPr fontId="1"/>
  </si>
  <si>
    <t>暖房12</t>
    <rPh sb="0" eb="2">
      <t>ダンボウ</t>
    </rPh>
    <phoneticPr fontId="1"/>
  </si>
  <si>
    <t>暖房13</t>
    <rPh sb="0" eb="2">
      <t>ダンボウ</t>
    </rPh>
    <phoneticPr fontId="1"/>
  </si>
  <si>
    <t>暖房14</t>
    <rPh sb="0" eb="2">
      <t>ダンボウ</t>
    </rPh>
    <phoneticPr fontId="1"/>
  </si>
  <si>
    <t>暖房15</t>
    <rPh sb="0" eb="2">
      <t>ダンボウ</t>
    </rPh>
    <phoneticPr fontId="1"/>
  </si>
  <si>
    <t>暖房16</t>
    <rPh sb="0" eb="2">
      <t>ダンボウ</t>
    </rPh>
    <phoneticPr fontId="1"/>
  </si>
  <si>
    <t>暖房17</t>
    <rPh sb="0" eb="2">
      <t>ダンボウ</t>
    </rPh>
    <phoneticPr fontId="1"/>
  </si>
  <si>
    <t>暖房18</t>
    <rPh sb="0" eb="2">
      <t>ダンボウ</t>
    </rPh>
    <phoneticPr fontId="1"/>
  </si>
  <si>
    <t>暖房19</t>
    <rPh sb="0" eb="2">
      <t>ダンボウ</t>
    </rPh>
    <phoneticPr fontId="1"/>
  </si>
  <si>
    <t>暖房20</t>
    <rPh sb="0" eb="2">
      <t>ダンボウ</t>
    </rPh>
    <phoneticPr fontId="1"/>
  </si>
  <si>
    <t>暖房21</t>
    <rPh sb="0" eb="2">
      <t>ダンボウ</t>
    </rPh>
    <phoneticPr fontId="1"/>
  </si>
  <si>
    <t>暖房22</t>
    <rPh sb="0" eb="2">
      <t>ダンボウ</t>
    </rPh>
    <phoneticPr fontId="1"/>
  </si>
  <si>
    <t>暖房23</t>
    <rPh sb="0" eb="2">
      <t>ダンボウ</t>
    </rPh>
    <phoneticPr fontId="1"/>
  </si>
  <si>
    <t>暖房24</t>
    <rPh sb="0" eb="2">
      <t>ダンボウ</t>
    </rPh>
    <phoneticPr fontId="1"/>
  </si>
  <si>
    <t>暖房25</t>
    <rPh sb="0" eb="2">
      <t>ダンボウ</t>
    </rPh>
    <phoneticPr fontId="1"/>
  </si>
  <si>
    <t>03_暖房</t>
  </si>
  <si>
    <t>03_暖房</t>
    <phoneticPr fontId="1"/>
  </si>
  <si>
    <t>区分（い）</t>
  </si>
  <si>
    <t>区分（ろ）</t>
  </si>
  <si>
    <t>区分（は）</t>
  </si>
  <si>
    <t>評価しない、または搭載しない</t>
  </si>
  <si>
    <t>搭載する</t>
  </si>
  <si>
    <t>定格能力におけるエネルギー消費効率</t>
  </si>
  <si>
    <t>40.0</t>
  </si>
  <si>
    <t>40.0</t>
    <phoneticPr fontId="1"/>
  </si>
  <si>
    <t>10</t>
    <phoneticPr fontId="1"/>
  </si>
  <si>
    <t>20</t>
    <phoneticPr fontId="1"/>
  </si>
  <si>
    <t>30</t>
    <phoneticPr fontId="1"/>
  </si>
  <si>
    <t>40</t>
    <phoneticPr fontId="1"/>
  </si>
  <si>
    <t>50</t>
    <phoneticPr fontId="1"/>
  </si>
  <si>
    <t>60</t>
    <phoneticPr fontId="1"/>
  </si>
  <si>
    <t>70</t>
    <phoneticPr fontId="1"/>
  </si>
  <si>
    <t>80</t>
    <phoneticPr fontId="1"/>
  </si>
  <si>
    <t>90</t>
    <phoneticPr fontId="1"/>
  </si>
  <si>
    <t>100</t>
    <phoneticPr fontId="1"/>
  </si>
  <si>
    <t>86.0</t>
  </si>
  <si>
    <t>86.0</t>
    <phoneticPr fontId="1"/>
  </si>
  <si>
    <t>10.0</t>
  </si>
  <si>
    <t>10.0</t>
    <phoneticPr fontId="1"/>
  </si>
  <si>
    <t>20.0</t>
    <phoneticPr fontId="1"/>
  </si>
  <si>
    <t>30.0</t>
    <phoneticPr fontId="1"/>
  </si>
  <si>
    <t>50.0</t>
    <phoneticPr fontId="1"/>
  </si>
  <si>
    <t>60.0</t>
    <phoneticPr fontId="1"/>
  </si>
  <si>
    <t>70.0</t>
    <phoneticPr fontId="1"/>
  </si>
  <si>
    <t>80.0</t>
    <phoneticPr fontId="1"/>
  </si>
  <si>
    <t>90.0</t>
    <phoneticPr fontId="1"/>
  </si>
  <si>
    <t>100.0</t>
    <phoneticPr fontId="1"/>
  </si>
  <si>
    <t>利用する（換気回数5回/h相当以上）</t>
  </si>
  <si>
    <t>利用する（換気回数5回/h相当以上）</t>
    <phoneticPr fontId="1"/>
  </si>
  <si>
    <t>利用する（換気回数20回/h相当以上）</t>
  </si>
  <si>
    <t>利用する（換気回数20回/h相当以上）</t>
    <phoneticPr fontId="1"/>
  </si>
  <si>
    <t>ルームエアコンディショナー</t>
    <phoneticPr fontId="1"/>
  </si>
  <si>
    <t>FF暖房機</t>
    <phoneticPr fontId="1"/>
  </si>
  <si>
    <t>電気蓄熱暖房器</t>
    <phoneticPr fontId="1"/>
  </si>
  <si>
    <t>電気ヒーター床暖房</t>
    <phoneticPr fontId="1"/>
  </si>
  <si>
    <t>ルームエアコンディショナー付温水床暖房機</t>
    <phoneticPr fontId="1"/>
  </si>
  <si>
    <t>温水床暖房</t>
    <phoneticPr fontId="1"/>
  </si>
  <si>
    <t>パネルラジエーター</t>
    <phoneticPr fontId="1"/>
  </si>
  <si>
    <t>ファンコンベクター</t>
    <phoneticPr fontId="1"/>
  </si>
  <si>
    <t>ペレットストーブ</t>
    <phoneticPr fontId="1"/>
  </si>
  <si>
    <t>その他の暖房設備機器</t>
    <phoneticPr fontId="1"/>
  </si>
  <si>
    <t>基準値の算定において想定される機器（増改築部分を対象に評価する場合の基準設定仕様）</t>
    <phoneticPr fontId="1"/>
  </si>
  <si>
    <t>暖房設備機器または放熱器を設置しない</t>
    <phoneticPr fontId="1"/>
  </si>
  <si>
    <t>入力しない（規定値を用いる）</t>
    <phoneticPr fontId="1"/>
  </si>
  <si>
    <t>入力する</t>
    <phoneticPr fontId="1"/>
  </si>
  <si>
    <t>評価しない</t>
    <phoneticPr fontId="1"/>
  </si>
  <si>
    <t>評価する</t>
    <phoneticPr fontId="1"/>
  </si>
  <si>
    <t>評価しない、または採用しない</t>
    <phoneticPr fontId="1"/>
  </si>
  <si>
    <t>採用する</t>
    <phoneticPr fontId="1"/>
  </si>
  <si>
    <t>熱交換器タイプの入力</t>
  </si>
  <si>
    <t>熱交換器タイプ</t>
  </si>
  <si>
    <t>その他の温水暖房機の名称</t>
  </si>
  <si>
    <t>（その他の温水暖房機の名称）</t>
    <rPh sb="3" eb="4">
      <t>タ</t>
    </rPh>
    <rPh sb="5" eb="7">
      <t>オンスイ</t>
    </rPh>
    <rPh sb="7" eb="9">
      <t>ダンボウ</t>
    </rPh>
    <rPh sb="9" eb="10">
      <t>キ</t>
    </rPh>
    <rPh sb="11" eb="13">
      <t>メイショウ</t>
    </rPh>
    <phoneticPr fontId="1"/>
  </si>
  <si>
    <t>（その他の暖房機器の名称）</t>
    <rPh sb="3" eb="4">
      <t>タ</t>
    </rPh>
    <rPh sb="5" eb="7">
      <t>ダンボウ</t>
    </rPh>
    <rPh sb="7" eb="9">
      <t>キキ</t>
    </rPh>
    <phoneticPr fontId="1"/>
  </si>
  <si>
    <t>11.0</t>
  </si>
  <si>
    <t>11.0</t>
    <phoneticPr fontId="1"/>
  </si>
  <si>
    <t>21.0</t>
    <phoneticPr fontId="1"/>
  </si>
  <si>
    <t>31.0</t>
    <phoneticPr fontId="1"/>
  </si>
  <si>
    <t>41.0</t>
    <phoneticPr fontId="1"/>
  </si>
  <si>
    <t>51.0</t>
    <phoneticPr fontId="1"/>
  </si>
  <si>
    <t>61.0</t>
    <phoneticPr fontId="1"/>
  </si>
  <si>
    <t>71.0</t>
    <phoneticPr fontId="1"/>
  </si>
  <si>
    <t>81.0</t>
    <phoneticPr fontId="1"/>
  </si>
  <si>
    <t>91.0</t>
    <phoneticPr fontId="1"/>
  </si>
  <si>
    <t>m3/h (小数点以下1桁)</t>
  </si>
  <si>
    <t>設計風量</t>
  </si>
  <si>
    <t>暖房設備機器または放熱器の種類_主たる居室</t>
  </si>
  <si>
    <t>エネルギー消費効率の入力_主たる居室</t>
  </si>
  <si>
    <t>定格能力におけるエネルギー消費効率_主たる居室</t>
  </si>
  <si>
    <t>エネルギー消費効率の区分_主たる居室</t>
  </si>
  <si>
    <t>小能力時高効率型コンプレッサー_主たる居室</t>
  </si>
  <si>
    <t>敷設率の入力_主たる居室</t>
  </si>
  <si>
    <t>敷設率_主たる居室</t>
  </si>
  <si>
    <t>仮想床の床面積を除いた敷設率の入力_主たる居室</t>
  </si>
  <si>
    <t>仮想床の床面積を除いた敷設率_主たる居室</t>
  </si>
  <si>
    <t>低出力モード_主たる居室</t>
  </si>
  <si>
    <t>断熱配管_主たる居室</t>
  </si>
  <si>
    <t>熱出力_主たる居室</t>
  </si>
  <si>
    <t>熱効率_主たる居室</t>
  </si>
  <si>
    <t>点火時消費電力量_主たる居室</t>
  </si>
  <si>
    <t>定常時消費電力_主たる居室</t>
  </si>
  <si>
    <t>その他の暖房設備機器の名称_主たる居室</t>
  </si>
  <si>
    <t>暖房設備機器または放熱器の種類_その他の居室</t>
  </si>
  <si>
    <t>エネルギー消費効率の入力_その他の居室</t>
  </si>
  <si>
    <t>定格能力におけるエネルギー消費効率_その他の居室</t>
  </si>
  <si>
    <t>エネルギー消費効率の区分_その他の居室</t>
  </si>
  <si>
    <t>小能力時高効率型コンプレッサー_その他の居室</t>
  </si>
  <si>
    <t>敷設率の入力_その他の居室</t>
  </si>
  <si>
    <t>敷設率_その他の居室</t>
  </si>
  <si>
    <t>低出力モード_その他の居室</t>
  </si>
  <si>
    <t>断熱配管_その他の居室</t>
  </si>
  <si>
    <t>熱出力_その他の居室</t>
  </si>
  <si>
    <t>熱効率_その他の居室</t>
  </si>
  <si>
    <t>点火時消費電力量_その他の居室</t>
  </si>
  <si>
    <t>定常時消費電力_その他の居室</t>
  </si>
  <si>
    <t>その他の暖房設備機器の名称_その他の居室</t>
  </si>
  <si>
    <t>定格暖房能力試験_能力</t>
  </si>
  <si>
    <t>定格暖房能力試験_消費電力</t>
  </si>
  <si>
    <t xml:space="preserve">定格暖房能力試験_風量 </t>
  </si>
  <si>
    <t>定格暖房能力試験_室内側送風機の消費電力</t>
  </si>
  <si>
    <t>中間暖房能力試験_能力</t>
  </si>
  <si>
    <t>中間暖房能力試験_消費電力</t>
  </si>
  <si>
    <t xml:space="preserve">中間暖房能力試験_風量 </t>
  </si>
  <si>
    <t>中間暖房能力試験_室内側送風機の消費電力</t>
  </si>
  <si>
    <t>上面放熱率_床の断熱_主たる居室</t>
  </si>
  <si>
    <t>上面放熱率_床の断熱_主たる居室</t>
    <phoneticPr fontId="1"/>
  </si>
  <si>
    <t>上面放熱率_床の断熱_その他の居室</t>
  </si>
  <si>
    <t>上面放熱率_床の断熱_その他の居室</t>
    <phoneticPr fontId="1"/>
  </si>
  <si>
    <t>暖房26</t>
    <rPh sb="0" eb="2">
      <t>ダンボウ</t>
    </rPh>
    <phoneticPr fontId="1"/>
  </si>
  <si>
    <t>暖房27</t>
    <rPh sb="0" eb="2">
      <t>ダンボウ</t>
    </rPh>
    <phoneticPr fontId="1"/>
  </si>
  <si>
    <t>暖房28</t>
    <rPh sb="0" eb="2">
      <t>ダンボウ</t>
    </rPh>
    <phoneticPr fontId="1"/>
  </si>
  <si>
    <t>暖房29</t>
    <rPh sb="0" eb="2">
      <t>ダンボウ</t>
    </rPh>
    <phoneticPr fontId="1"/>
  </si>
  <si>
    <t>暖房30</t>
    <rPh sb="0" eb="2">
      <t>ダンボウ</t>
    </rPh>
    <phoneticPr fontId="1"/>
  </si>
  <si>
    <t>暖房31</t>
    <rPh sb="0" eb="2">
      <t>ダンボウ</t>
    </rPh>
    <phoneticPr fontId="1"/>
  </si>
  <si>
    <t>暖房32</t>
    <rPh sb="0" eb="2">
      <t>ダンボウ</t>
    </rPh>
    <phoneticPr fontId="1"/>
  </si>
  <si>
    <t>暖房33</t>
    <rPh sb="0" eb="2">
      <t>ダンボウ</t>
    </rPh>
    <phoneticPr fontId="1"/>
  </si>
  <si>
    <t>暖房34</t>
    <rPh sb="0" eb="2">
      <t>ダンボウ</t>
    </rPh>
    <phoneticPr fontId="1"/>
  </si>
  <si>
    <t>暖房35</t>
    <rPh sb="0" eb="2">
      <t>ダンボウ</t>
    </rPh>
    <phoneticPr fontId="1"/>
  </si>
  <si>
    <t>暖房36</t>
    <rPh sb="0" eb="2">
      <t>ダンボウ</t>
    </rPh>
    <phoneticPr fontId="1"/>
  </si>
  <si>
    <t>暖房37</t>
    <rPh sb="0" eb="2">
      <t>ダンボウ</t>
    </rPh>
    <phoneticPr fontId="1"/>
  </si>
  <si>
    <t>暖房38</t>
    <rPh sb="0" eb="2">
      <t>ダンボウ</t>
    </rPh>
    <phoneticPr fontId="1"/>
  </si>
  <si>
    <t>暖房39</t>
    <rPh sb="0" eb="2">
      <t>ダンボウ</t>
    </rPh>
    <phoneticPr fontId="1"/>
  </si>
  <si>
    <t>暖房40</t>
    <rPh sb="0" eb="2">
      <t>ダンボウ</t>
    </rPh>
    <phoneticPr fontId="1"/>
  </si>
  <si>
    <t>暖房41</t>
    <rPh sb="0" eb="2">
      <t>ダンボウ</t>
    </rPh>
    <phoneticPr fontId="1"/>
  </si>
  <si>
    <t>暖房42</t>
    <rPh sb="0" eb="2">
      <t>ダンボウ</t>
    </rPh>
    <phoneticPr fontId="1"/>
  </si>
  <si>
    <t>暖房43</t>
    <rPh sb="0" eb="2">
      <t>ダンボウ</t>
    </rPh>
    <phoneticPr fontId="1"/>
  </si>
  <si>
    <t>暖房44</t>
    <rPh sb="0" eb="2">
      <t>ダンボウ</t>
    </rPh>
    <phoneticPr fontId="1"/>
  </si>
  <si>
    <t>暖房45</t>
    <rPh sb="0" eb="2">
      <t>ダンボウ</t>
    </rPh>
    <phoneticPr fontId="1"/>
  </si>
  <si>
    <t>暖房46</t>
    <rPh sb="0" eb="2">
      <t>ダンボウ</t>
    </rPh>
    <phoneticPr fontId="1"/>
  </si>
  <si>
    <t>暖房47</t>
    <rPh sb="0" eb="2">
      <t>ダンボウ</t>
    </rPh>
    <phoneticPr fontId="1"/>
  </si>
  <si>
    <t>暖房48</t>
    <rPh sb="0" eb="2">
      <t>ダンボウ</t>
    </rPh>
    <phoneticPr fontId="1"/>
  </si>
  <si>
    <t>暖房49</t>
    <rPh sb="0" eb="2">
      <t>ダンボウ</t>
    </rPh>
    <phoneticPr fontId="1"/>
  </si>
  <si>
    <t>暖房50</t>
    <rPh sb="0" eb="2">
      <t>ダンボウ</t>
    </rPh>
    <phoneticPr fontId="1"/>
  </si>
  <si>
    <t>暖房51</t>
    <rPh sb="0" eb="2">
      <t>ダンボウ</t>
    </rPh>
    <phoneticPr fontId="1"/>
  </si>
  <si>
    <t>暖房52</t>
    <rPh sb="0" eb="2">
      <t>ダンボウ</t>
    </rPh>
    <phoneticPr fontId="1"/>
  </si>
  <si>
    <t>暖房53</t>
    <rPh sb="0" eb="2">
      <t>ダンボウ</t>
    </rPh>
    <phoneticPr fontId="1"/>
  </si>
  <si>
    <t>暖房54</t>
    <rPh sb="0" eb="2">
      <t>ダンボウ</t>
    </rPh>
    <phoneticPr fontId="1"/>
  </si>
  <si>
    <t>暖房55</t>
    <rPh sb="0" eb="2">
      <t>ダンボウ</t>
    </rPh>
    <phoneticPr fontId="1"/>
  </si>
  <si>
    <t>暖房56</t>
    <rPh sb="0" eb="2">
      <t>ダンボウ</t>
    </rPh>
    <phoneticPr fontId="1"/>
  </si>
  <si>
    <t>暖房02, 暖房03, 暖房19, 暖房20</t>
  </si>
  <si>
    <t>暖房02, 暖房03, 暖房19, 暖房20, 暖房42, 暖房43, 暖房44, 暖房45, 暖房46, 暖房55</t>
  </si>
  <si>
    <t>暖房02, 暖房03, 暖房19, 暖房20, 暖房42, 暖房43, 暖房44, 暖房45, 暖房46, 暖房55</t>
    <phoneticPr fontId="1"/>
  </si>
  <si>
    <t>暖房42, 暖房43, 暖房44, 暖房45, 暖房46, 暖房55</t>
    <phoneticPr fontId="1"/>
  </si>
  <si>
    <t>手順</t>
    <rPh sb="0" eb="2">
      <t>テジュン</t>
    </rPh>
    <phoneticPr fontId="1"/>
  </si>
  <si>
    <t>シートに対応したVBAを設定する</t>
    <rPh sb="4" eb="6">
      <t>タイオウ</t>
    </rPh>
    <rPh sb="12" eb="14">
      <t>セッテイ</t>
    </rPh>
    <phoneticPr fontId="1"/>
  </si>
  <si>
    <t>セル参照で選択するキーと値の組み合わせを整える</t>
    <rPh sb="2" eb="4">
      <t>サンショウ</t>
    </rPh>
    <rPh sb="5" eb="7">
      <t>センタク</t>
    </rPh>
    <rPh sb="12" eb="13">
      <t>アタイ</t>
    </rPh>
    <rPh sb="14" eb="15">
      <t>ク</t>
    </rPh>
    <rPh sb="16" eb="17">
      <t>ア</t>
    </rPh>
    <rPh sb="20" eb="21">
      <t>トトノ</t>
    </rPh>
    <phoneticPr fontId="1"/>
  </si>
  <si>
    <t>計算シートへキーを転記する</t>
    <rPh sb="0" eb="2">
      <t>ケイサン</t>
    </rPh>
    <rPh sb="9" eb="11">
      <t>テンキ</t>
    </rPh>
    <phoneticPr fontId="1"/>
  </si>
  <si>
    <t>キーのセルに入力規則を設定する（VBA）</t>
    <rPh sb="6" eb="8">
      <t>ニュウリョク</t>
    </rPh>
    <rPh sb="8" eb="10">
      <t>キソク</t>
    </rPh>
    <rPh sb="11" eb="13">
      <t>セッテイ</t>
    </rPh>
    <phoneticPr fontId="1"/>
  </si>
  <si>
    <t>表示／非表示マスターを作る</t>
    <rPh sb="0" eb="2">
      <t>ヒョウジ</t>
    </rPh>
    <rPh sb="3" eb="6">
      <t>ヒヒョウジ</t>
    </rPh>
    <rPh sb="11" eb="12">
      <t>ツク</t>
    </rPh>
    <phoneticPr fontId="1"/>
  </si>
  <si>
    <t>操作</t>
    <rPh sb="0" eb="2">
      <t>ソウサ</t>
    </rPh>
    <phoneticPr fontId="1"/>
  </si>
  <si>
    <t>対象</t>
    <rPh sb="0" eb="2">
      <t>タイショウ</t>
    </rPh>
    <phoneticPr fontId="1"/>
  </si>
  <si>
    <t>シート</t>
    <phoneticPr fontId="1"/>
  </si>
  <si>
    <t>要素</t>
    <rPh sb="0" eb="2">
      <t>ヨウソ</t>
    </rPh>
    <phoneticPr fontId="1"/>
  </si>
  <si>
    <t>ルール</t>
    <phoneticPr fontId="1"/>
  </si>
  <si>
    <t>冷房01</t>
    <rPh sb="0" eb="2">
      <t>レイボウ</t>
    </rPh>
    <phoneticPr fontId="1"/>
  </si>
  <si>
    <t>冷房02</t>
    <rPh sb="0" eb="2">
      <t>レイボウ</t>
    </rPh>
    <phoneticPr fontId="1"/>
  </si>
  <si>
    <t>冷房03</t>
    <rPh sb="0" eb="2">
      <t>レイボウ</t>
    </rPh>
    <phoneticPr fontId="1"/>
  </si>
  <si>
    <t>冷房04</t>
    <rPh sb="0" eb="2">
      <t>レイボウ</t>
    </rPh>
    <phoneticPr fontId="1"/>
  </si>
  <si>
    <t>冷房05</t>
    <rPh sb="0" eb="2">
      <t>レイボウ</t>
    </rPh>
    <phoneticPr fontId="1"/>
  </si>
  <si>
    <t>冷房06</t>
    <rPh sb="0" eb="2">
      <t>レイボウ</t>
    </rPh>
    <phoneticPr fontId="1"/>
  </si>
  <si>
    <t>冷房07</t>
    <rPh sb="0" eb="2">
      <t>レイボウ</t>
    </rPh>
    <phoneticPr fontId="1"/>
  </si>
  <si>
    <t>冷房08</t>
    <rPh sb="0" eb="2">
      <t>レイボウ</t>
    </rPh>
    <phoneticPr fontId="1"/>
  </si>
  <si>
    <t>冷房09</t>
    <rPh sb="0" eb="2">
      <t>レイボウ</t>
    </rPh>
    <phoneticPr fontId="1"/>
  </si>
  <si>
    <t>冷房10</t>
    <rPh sb="0" eb="2">
      <t>レイボウ</t>
    </rPh>
    <phoneticPr fontId="1"/>
  </si>
  <si>
    <t>冷房11</t>
    <rPh sb="0" eb="2">
      <t>レイボウ</t>
    </rPh>
    <phoneticPr fontId="1"/>
  </si>
  <si>
    <t>冷房12</t>
    <rPh sb="0" eb="2">
      <t>レイボウ</t>
    </rPh>
    <phoneticPr fontId="1"/>
  </si>
  <si>
    <t>冷房13</t>
    <rPh sb="0" eb="2">
      <t>レイボウ</t>
    </rPh>
    <phoneticPr fontId="1"/>
  </si>
  <si>
    <t>冷房14</t>
    <rPh sb="0" eb="2">
      <t>レイボウ</t>
    </rPh>
    <phoneticPr fontId="1"/>
  </si>
  <si>
    <t>冷房方式</t>
  </si>
  <si>
    <t>冷房方式</t>
    <phoneticPr fontId="1"/>
  </si>
  <si>
    <t>04_冷房</t>
    <rPh sb="3" eb="5">
      <t>レイボウ</t>
    </rPh>
    <phoneticPr fontId="1"/>
  </si>
  <si>
    <t>居室のみを冷房する</t>
  </si>
  <si>
    <t>住戸全体を冷房する</t>
  </si>
  <si>
    <t>冷房設備機器の種類</t>
  </si>
  <si>
    <t>その他の冷房設備機器</t>
  </si>
  <si>
    <t>冷房設備機器を設置しない</t>
  </si>
  <si>
    <t>冷房設備機器の種類_主たる居室</t>
  </si>
  <si>
    <t>冷房設備機器の種類_主たる居室</t>
    <phoneticPr fontId="1"/>
  </si>
  <si>
    <t>エネルギー消費効率の入力_主たる居室</t>
    <phoneticPr fontId="1"/>
  </si>
  <si>
    <t>冷房設備機器の種類_その他の居室</t>
  </si>
  <si>
    <t>冷房設備機器の種類_その他の居室</t>
    <phoneticPr fontId="1"/>
  </si>
  <si>
    <t>エネルギー消費効率の入力_その他の居室</t>
    <phoneticPr fontId="1"/>
  </si>
  <si>
    <t>（その他の冷房設備機器の名称）</t>
  </si>
  <si>
    <t>（その他の冷房設備機器の名称）</t>
    <phoneticPr fontId="1"/>
  </si>
  <si>
    <t>その他の冷房設備機器の名称_その他の居室</t>
  </si>
  <si>
    <t>その他の冷房設備機器の名称_その他の居室</t>
    <phoneticPr fontId="1"/>
  </si>
  <si>
    <t>その他の冷房設備機器の名称_主たる居室</t>
  </si>
  <si>
    <t>その他の冷房設備機器の名称_主たる居室</t>
    <phoneticPr fontId="1"/>
  </si>
  <si>
    <t>設計風量</t>
    <phoneticPr fontId="1"/>
  </si>
  <si>
    <t>換気01</t>
    <rPh sb="0" eb="2">
      <t>カンキ</t>
    </rPh>
    <phoneticPr fontId="1"/>
  </si>
  <si>
    <t>換気02</t>
    <rPh sb="0" eb="2">
      <t>カンキ</t>
    </rPh>
    <phoneticPr fontId="1"/>
  </si>
  <si>
    <t>換気03</t>
    <rPh sb="0" eb="2">
      <t>カンキ</t>
    </rPh>
    <phoneticPr fontId="1"/>
  </si>
  <si>
    <t>換気04</t>
    <rPh sb="0" eb="2">
      <t>カンキ</t>
    </rPh>
    <phoneticPr fontId="1"/>
  </si>
  <si>
    <t>換気05</t>
    <rPh sb="0" eb="2">
      <t>カンキ</t>
    </rPh>
    <phoneticPr fontId="1"/>
  </si>
  <si>
    <t>換気06</t>
    <rPh sb="0" eb="2">
      <t>カンキ</t>
    </rPh>
    <phoneticPr fontId="1"/>
  </si>
  <si>
    <t>換気07</t>
    <rPh sb="0" eb="2">
      <t>カンキ</t>
    </rPh>
    <phoneticPr fontId="1"/>
  </si>
  <si>
    <t>05_換気</t>
    <rPh sb="3" eb="5">
      <t>カンキ</t>
    </rPh>
    <phoneticPr fontId="1"/>
  </si>
  <si>
    <t>換気設備の方式</t>
  </si>
  <si>
    <t>ダクト式第一種換気設備</t>
  </si>
  <si>
    <t>ダクト式第二種換気設備、またはダクト式第三種換気設備</t>
  </si>
  <si>
    <t>壁付け式第一種換気設備</t>
  </si>
  <si>
    <t>壁付け式第二種換気設備、または壁付け式第三種換気設備</t>
  </si>
  <si>
    <t>比消費電力の入力</t>
  </si>
  <si>
    <t>入力しない（省エネルギー手法を評価しない、または採用しない）</t>
  </si>
  <si>
    <t>入力しない（省エネルギー手法を採用する）</t>
  </si>
  <si>
    <t>換気回数</t>
  </si>
  <si>
    <t>0.5回/h</t>
  </si>
  <si>
    <t>0.7回/h</t>
  </si>
  <si>
    <t>0.0回/h</t>
  </si>
  <si>
    <t>第一種換気設備の有効換気量率の入力</t>
  </si>
  <si>
    <t>還気が給気に混入することのない場合、 もしくは熱交換型換気設備を評価しない、または設置しない場合（規定値を用いる）</t>
  </si>
  <si>
    <t>上記以外の場合</t>
  </si>
  <si>
    <t>省エネルギー手法</t>
  </si>
  <si>
    <t>径の太いダクトを使用する</t>
  </si>
  <si>
    <t>径の太いダクトを使用し、かつDCモーターを採用する</t>
  </si>
  <si>
    <t>比消費電力</t>
  </si>
  <si>
    <t>W/(m3/h) (小数点以下2桁)</t>
  </si>
  <si>
    <t>第一種換気設備の有効換気量率</t>
  </si>
  <si>
    <t>- (小数点以下2桁)</t>
  </si>
  <si>
    <t>熱交換01</t>
    <rPh sb="0" eb="3">
      <t>ネツコウカン</t>
    </rPh>
    <phoneticPr fontId="1"/>
  </si>
  <si>
    <t>熱交換02</t>
    <rPh sb="0" eb="3">
      <t>ネツコウカン</t>
    </rPh>
    <phoneticPr fontId="1"/>
  </si>
  <si>
    <t>熱交換03</t>
    <rPh sb="0" eb="3">
      <t>ネツコウカン</t>
    </rPh>
    <phoneticPr fontId="1"/>
  </si>
  <si>
    <t>熱交換04</t>
    <rPh sb="0" eb="3">
      <t>ネツコウカン</t>
    </rPh>
    <phoneticPr fontId="1"/>
  </si>
  <si>
    <t>熱交換05</t>
    <rPh sb="0" eb="3">
      <t>ネツコウカン</t>
    </rPh>
    <phoneticPr fontId="1"/>
  </si>
  <si>
    <t>06_熱交換</t>
    <rPh sb="3" eb="6">
      <t>ネツコウカン</t>
    </rPh>
    <phoneticPr fontId="1"/>
  </si>
  <si>
    <t>熱交換型換気設備</t>
  </si>
  <si>
    <t>評価しない、または設置しない</t>
  </si>
  <si>
    <t>設置する</t>
  </si>
  <si>
    <t>温度交換効率</t>
  </si>
  <si>
    <t>温度交換効率の補正係数の入力</t>
  </si>
  <si>
    <t>給気と排気の比率による温度交換効率の補正係数</t>
  </si>
  <si>
    <t>排気過多時における住宅外皮経由の漏気による温度交換効率の補正係数</t>
  </si>
  <si>
    <t>給湯01</t>
    <rPh sb="0" eb="2">
      <t>キュウトウ</t>
    </rPh>
    <phoneticPr fontId="1"/>
  </si>
  <si>
    <t>給湯02</t>
    <rPh sb="0" eb="2">
      <t>キュウトウ</t>
    </rPh>
    <phoneticPr fontId="1"/>
  </si>
  <si>
    <t>給湯03</t>
    <rPh sb="0" eb="2">
      <t>キュウトウ</t>
    </rPh>
    <phoneticPr fontId="1"/>
  </si>
  <si>
    <t>給湯04</t>
    <rPh sb="0" eb="2">
      <t>キュウトウ</t>
    </rPh>
    <phoneticPr fontId="1"/>
  </si>
  <si>
    <t>給湯05</t>
    <rPh sb="0" eb="2">
      <t>キュウトウ</t>
    </rPh>
    <phoneticPr fontId="1"/>
  </si>
  <si>
    <t>給湯06</t>
    <rPh sb="0" eb="2">
      <t>キュウトウ</t>
    </rPh>
    <phoneticPr fontId="1"/>
  </si>
  <si>
    <t>給湯07</t>
    <rPh sb="0" eb="2">
      <t>キュウトウ</t>
    </rPh>
    <phoneticPr fontId="1"/>
  </si>
  <si>
    <t>給湯08</t>
    <rPh sb="0" eb="2">
      <t>キュウトウ</t>
    </rPh>
    <phoneticPr fontId="1"/>
  </si>
  <si>
    <t>給湯09</t>
    <rPh sb="0" eb="2">
      <t>キュウトウ</t>
    </rPh>
    <phoneticPr fontId="1"/>
  </si>
  <si>
    <t>給湯10</t>
    <rPh sb="0" eb="2">
      <t>キュウトウ</t>
    </rPh>
    <phoneticPr fontId="1"/>
  </si>
  <si>
    <t>給湯11</t>
    <rPh sb="0" eb="2">
      <t>キュウトウ</t>
    </rPh>
    <phoneticPr fontId="1"/>
  </si>
  <si>
    <t>給湯12</t>
    <rPh sb="0" eb="2">
      <t>キュウトウ</t>
    </rPh>
    <phoneticPr fontId="1"/>
  </si>
  <si>
    <t>給湯13</t>
    <rPh sb="0" eb="2">
      <t>キュウトウ</t>
    </rPh>
    <phoneticPr fontId="1"/>
  </si>
  <si>
    <t>給湯14</t>
    <rPh sb="0" eb="2">
      <t>キュウトウ</t>
    </rPh>
    <phoneticPr fontId="1"/>
  </si>
  <si>
    <t>給湯15</t>
    <rPh sb="0" eb="2">
      <t>キュウトウ</t>
    </rPh>
    <phoneticPr fontId="1"/>
  </si>
  <si>
    <t>給湯16</t>
    <rPh sb="0" eb="2">
      <t>キュウトウ</t>
    </rPh>
    <phoneticPr fontId="1"/>
  </si>
  <si>
    <t>給湯17</t>
    <rPh sb="0" eb="2">
      <t>キュウトウ</t>
    </rPh>
    <phoneticPr fontId="1"/>
  </si>
  <si>
    <t>給湯18</t>
    <rPh sb="0" eb="2">
      <t>キュウトウ</t>
    </rPh>
    <phoneticPr fontId="1"/>
  </si>
  <si>
    <t>給湯19</t>
    <rPh sb="0" eb="2">
      <t>キュウトウ</t>
    </rPh>
    <phoneticPr fontId="1"/>
  </si>
  <si>
    <t>給湯20</t>
    <rPh sb="0" eb="2">
      <t>キュウトウ</t>
    </rPh>
    <phoneticPr fontId="1"/>
  </si>
  <si>
    <t>給湯21</t>
    <rPh sb="0" eb="2">
      <t>キュウトウ</t>
    </rPh>
    <phoneticPr fontId="1"/>
  </si>
  <si>
    <t>給湯22</t>
    <rPh sb="0" eb="2">
      <t>キュウトウ</t>
    </rPh>
    <phoneticPr fontId="1"/>
  </si>
  <si>
    <t>給湯23</t>
    <rPh sb="0" eb="2">
      <t>キュウトウ</t>
    </rPh>
    <phoneticPr fontId="1"/>
  </si>
  <si>
    <t>給湯24</t>
    <rPh sb="0" eb="2">
      <t>キュウトウ</t>
    </rPh>
    <phoneticPr fontId="1"/>
  </si>
  <si>
    <t>給湯25</t>
    <rPh sb="0" eb="2">
      <t>キュウトウ</t>
    </rPh>
    <phoneticPr fontId="1"/>
  </si>
  <si>
    <t>給湯26</t>
    <rPh sb="0" eb="2">
      <t>キュウトウ</t>
    </rPh>
    <phoneticPr fontId="1"/>
  </si>
  <si>
    <t>給湯27</t>
    <rPh sb="0" eb="2">
      <t>キュウトウ</t>
    </rPh>
    <phoneticPr fontId="1"/>
  </si>
  <si>
    <t>給湯28</t>
    <rPh sb="0" eb="2">
      <t>キュウトウ</t>
    </rPh>
    <phoneticPr fontId="1"/>
  </si>
  <si>
    <t>給湯29</t>
    <rPh sb="0" eb="2">
      <t>キュウトウ</t>
    </rPh>
    <phoneticPr fontId="1"/>
  </si>
  <si>
    <t>給湯30</t>
    <rPh sb="0" eb="2">
      <t>キュウトウ</t>
    </rPh>
    <phoneticPr fontId="1"/>
  </si>
  <si>
    <t>給湯31</t>
    <rPh sb="0" eb="2">
      <t>キュウトウ</t>
    </rPh>
    <phoneticPr fontId="1"/>
  </si>
  <si>
    <t>給湯32</t>
    <rPh sb="0" eb="2">
      <t>キュウトウ</t>
    </rPh>
    <phoneticPr fontId="1"/>
  </si>
  <si>
    <t>給湯33</t>
    <rPh sb="0" eb="2">
      <t>キュウトウ</t>
    </rPh>
    <phoneticPr fontId="1"/>
  </si>
  <si>
    <t>給湯34</t>
    <rPh sb="0" eb="2">
      <t>キュウトウ</t>
    </rPh>
    <phoneticPr fontId="1"/>
  </si>
  <si>
    <t>給湯35</t>
    <rPh sb="0" eb="2">
      <t>キュウトウ</t>
    </rPh>
    <phoneticPr fontId="1"/>
  </si>
  <si>
    <t>給湯36</t>
    <rPh sb="0" eb="2">
      <t>キュウトウ</t>
    </rPh>
    <phoneticPr fontId="1"/>
  </si>
  <si>
    <t>給湯37</t>
    <rPh sb="0" eb="2">
      <t>キュウトウ</t>
    </rPh>
    <phoneticPr fontId="1"/>
  </si>
  <si>
    <t>給湯38</t>
    <rPh sb="0" eb="2">
      <t>キュウトウ</t>
    </rPh>
    <phoneticPr fontId="1"/>
  </si>
  <si>
    <t>給湯39</t>
    <rPh sb="0" eb="2">
      <t>キュウトウ</t>
    </rPh>
    <phoneticPr fontId="1"/>
  </si>
  <si>
    <t>給湯40</t>
    <rPh sb="0" eb="2">
      <t>キュウトウ</t>
    </rPh>
    <phoneticPr fontId="1"/>
  </si>
  <si>
    <t>給湯41</t>
    <rPh sb="0" eb="2">
      <t>キュウトウ</t>
    </rPh>
    <phoneticPr fontId="1"/>
  </si>
  <si>
    <t>給湯42</t>
    <rPh sb="0" eb="2">
      <t>キュウトウ</t>
    </rPh>
    <phoneticPr fontId="1"/>
  </si>
  <si>
    <t>給湯43</t>
    <rPh sb="0" eb="2">
      <t>キュウトウ</t>
    </rPh>
    <phoneticPr fontId="1"/>
  </si>
  <si>
    <t>給湯44</t>
    <rPh sb="0" eb="2">
      <t>キュウトウ</t>
    </rPh>
    <phoneticPr fontId="1"/>
  </si>
  <si>
    <t>給湯45</t>
    <rPh sb="0" eb="2">
      <t>キュウトウ</t>
    </rPh>
    <phoneticPr fontId="1"/>
  </si>
  <si>
    <t>給湯46</t>
    <rPh sb="0" eb="2">
      <t>キュウトウ</t>
    </rPh>
    <phoneticPr fontId="1"/>
  </si>
  <si>
    <t>給湯47</t>
    <rPh sb="0" eb="2">
      <t>キュウトウ</t>
    </rPh>
    <phoneticPr fontId="1"/>
  </si>
  <si>
    <t>給湯48</t>
    <rPh sb="0" eb="2">
      <t>キュウトウ</t>
    </rPh>
    <phoneticPr fontId="1"/>
  </si>
  <si>
    <t>給湯49</t>
    <rPh sb="0" eb="2">
      <t>キュウトウ</t>
    </rPh>
    <phoneticPr fontId="1"/>
  </si>
  <si>
    <t>給湯50</t>
    <rPh sb="0" eb="2">
      <t>キュウトウ</t>
    </rPh>
    <phoneticPr fontId="1"/>
  </si>
  <si>
    <t>07_給湯</t>
    <rPh sb="3" eb="5">
      <t>キュウトウ</t>
    </rPh>
    <phoneticPr fontId="1"/>
  </si>
  <si>
    <t>給湯設備・浴室等の有無</t>
  </si>
  <si>
    <t>給湯設備がある（浴室等がある）</t>
  </si>
  <si>
    <t>給湯設備がある（浴室等がない）</t>
  </si>
  <si>
    <t>給湯設備がない</t>
  </si>
  <si>
    <t>熱源機の種類</t>
  </si>
  <si>
    <t>ガス潜熱回収型給湯機</t>
  </si>
  <si>
    <t>石油従来型給湯機</t>
  </si>
  <si>
    <t>石油潜熱回収型給湯機</t>
  </si>
  <si>
    <t>電気ヒーター給湯機</t>
  </si>
  <si>
    <t>電気ヒートポンプ給湯機（CO2冷媒またはR32冷媒）（太陽熱利用設備を使用しないもの）</t>
  </si>
  <si>
    <t>電気ヒートポンプ・ガス瞬間式併用型給湯機</t>
  </si>
  <si>
    <t>ガス従来型給湯温水暖房機</t>
  </si>
  <si>
    <t>ガス潜熱回収型給湯温水暖房機</t>
  </si>
  <si>
    <t>石油従来型給湯温水暖房機</t>
  </si>
  <si>
    <t>石油潜熱回収型給湯温水暖房機</t>
  </si>
  <si>
    <t>電気ヒーター給湯温水暖房機</t>
  </si>
  <si>
    <t>電気ヒートポンプ・ガス瞬間式併用型給湯温水暖房機（暖房部：電気ヒートポンプ・ガス | 給湯部：ガス | 貯湯タンク：あり）</t>
  </si>
  <si>
    <t>電気ヒートポンプ・ガス瞬間式併用型給湯温水暖房機（暖房部：電気ヒートポンプ・ガス | 給湯部：ガス | 貯湯タンク：なし）</t>
  </si>
  <si>
    <t>電気ヒートポンプ・ガス瞬間式併用型給湯温水暖房機（暖房部：電気ヒートポンプ・ガス | 給湯部：電気ヒートポンプ・ガス）</t>
  </si>
  <si>
    <t>電気ヒートポンプ・ガス瞬間式併用型給湯温水暖房機（暖房部：ガス | 給湯部：電気ヒートポンプ・ガス）</t>
  </si>
  <si>
    <t>その他の給湯設備機器</t>
  </si>
  <si>
    <t>給湯設備機器を設置しない</t>
  </si>
  <si>
    <t>ガス従来型給湯機</t>
  </si>
  <si>
    <t>効率の入力</t>
  </si>
  <si>
    <t>効率（エネルギー消費効率）を入力</t>
  </si>
  <si>
    <t>効率（モード熱効率）を入力</t>
  </si>
  <si>
    <t>ふろ機能の種類</t>
  </si>
  <si>
    <t>給湯単機能</t>
  </si>
  <si>
    <t>ふろ給湯機（追焚なし）</t>
  </si>
  <si>
    <t>ふろ給湯機（追焚あり）</t>
  </si>
  <si>
    <t>評価しない、または先分岐方式</t>
  </si>
  <si>
    <t>ヘッダー方式</t>
  </si>
  <si>
    <t>配管方式</t>
  </si>
  <si>
    <t>台所水栓</t>
    <phoneticPr fontId="1"/>
  </si>
  <si>
    <t>浴室シャワー水栓</t>
  </si>
  <si>
    <t>洗面水栓</t>
  </si>
  <si>
    <t>評価しない、または2バルブ水栓</t>
  </si>
  <si>
    <t>2バルブ水栓以外のその他の水栓</t>
  </si>
  <si>
    <t>浴槽の保温措置</t>
  </si>
  <si>
    <t>評価しない、または高断熱浴槽を使用しない</t>
  </si>
  <si>
    <t>高断熱浴槽を使用する</t>
  </si>
  <si>
    <t>効率（熱効率）を入力</t>
  </si>
  <si>
    <t>電気ヒートポンプ給湯機の指定</t>
  </si>
  <si>
    <t>品番を指定しない（規定値を用いる）</t>
  </si>
  <si>
    <t>品番を指定しない（JIS効率を入力する）</t>
  </si>
  <si>
    <t>品番を指定しない（パラメータを入力する）</t>
  </si>
  <si>
    <t>品番を指定する</t>
  </si>
  <si>
    <t>冷媒の種類</t>
  </si>
  <si>
    <t>フロン系冷媒</t>
  </si>
  <si>
    <t>プロパン系冷媒</t>
  </si>
  <si>
    <t>タンクユニット容量</t>
  </si>
  <si>
    <t>タンク容量（小）</t>
  </si>
  <si>
    <t>タンク容量（大）</t>
  </si>
  <si>
    <t>効率（暖房部：熱効率 | 給湯部：エネルギー消費効率）を入力</t>
  </si>
  <si>
    <t>効率（暖房部：熱効率 | 給湯部：モード熱効率）を入力</t>
  </si>
  <si>
    <t>効率（暖房部：熱効率 | 給湯部：熱効率）を入力</t>
  </si>
  <si>
    <t>効率（給湯部：熱効率）を入力</t>
  </si>
  <si>
    <t>効率（給湯部：モード熱効率）を入力</t>
  </si>
  <si>
    <t>電気ヒートポンプ・ガス瞬間式併用型給湯温水暖房機の区分</t>
  </si>
  <si>
    <t>区分1</t>
  </si>
  <si>
    <t>区分2</t>
  </si>
  <si>
    <t>電気ヒートポンプ・ガス瞬間式併用型給湯機の指定</t>
    <phoneticPr fontId="1"/>
  </si>
  <si>
    <t>品番を指定しない（仕様を選択する）</t>
  </si>
  <si>
    <t>その他の給湯設備機器の名称</t>
    <phoneticPr fontId="1"/>
  </si>
  <si>
    <t>（その他の給湯設備機器の名称）</t>
    <phoneticPr fontId="1"/>
  </si>
  <si>
    <t>効率の入力_ガス給湯機</t>
    <rPh sb="8" eb="11">
      <t>キュウトウキ</t>
    </rPh>
    <phoneticPr fontId="1"/>
  </si>
  <si>
    <t>効率の入力_石油給湯機</t>
    <rPh sb="6" eb="8">
      <t>セキユ</t>
    </rPh>
    <rPh sb="8" eb="11">
      <t>キュウトウキ</t>
    </rPh>
    <phoneticPr fontId="1"/>
  </si>
  <si>
    <t>照明01</t>
    <rPh sb="0" eb="2">
      <t>ショウメイ</t>
    </rPh>
    <phoneticPr fontId="1"/>
  </si>
  <si>
    <t>照明02</t>
    <rPh sb="0" eb="2">
      <t>ショウメイ</t>
    </rPh>
    <phoneticPr fontId="1"/>
  </si>
  <si>
    <t>照明03</t>
    <rPh sb="0" eb="2">
      <t>ショウメイ</t>
    </rPh>
    <phoneticPr fontId="1"/>
  </si>
  <si>
    <t>照明04</t>
    <rPh sb="0" eb="2">
      <t>ショウメイ</t>
    </rPh>
    <phoneticPr fontId="1"/>
  </si>
  <si>
    <t>照明05</t>
    <rPh sb="0" eb="2">
      <t>ショウメイ</t>
    </rPh>
    <phoneticPr fontId="1"/>
  </si>
  <si>
    <t>照明06</t>
    <rPh sb="0" eb="2">
      <t>ショウメイ</t>
    </rPh>
    <phoneticPr fontId="1"/>
  </si>
  <si>
    <t>照明07</t>
    <rPh sb="0" eb="2">
      <t>ショウメイ</t>
    </rPh>
    <phoneticPr fontId="1"/>
  </si>
  <si>
    <t>照明08</t>
    <rPh sb="0" eb="2">
      <t>ショウメイ</t>
    </rPh>
    <phoneticPr fontId="1"/>
  </si>
  <si>
    <t>照明09</t>
    <rPh sb="0" eb="2">
      <t>ショウメイ</t>
    </rPh>
    <phoneticPr fontId="1"/>
  </si>
  <si>
    <t>08_照明</t>
    <rPh sb="3" eb="5">
      <t>ショウメイ</t>
    </rPh>
    <phoneticPr fontId="1"/>
  </si>
  <si>
    <t>すべての機器においてLEDを使用している</t>
  </si>
  <si>
    <t>すべての機器において白熱灯以外を使用している</t>
  </si>
  <si>
    <t>いずれかの機器において白熱灯を使用している</t>
  </si>
  <si>
    <t>主たる居室の照明設備</t>
    <phoneticPr fontId="1"/>
  </si>
  <si>
    <t>照明器具の種類_主たる居室</t>
    <phoneticPr fontId="1"/>
  </si>
  <si>
    <t>その他の居室の照明設備</t>
    <phoneticPr fontId="1"/>
  </si>
  <si>
    <t>照明器具の種類_その他の居室</t>
    <phoneticPr fontId="1"/>
  </si>
  <si>
    <t>多灯分散照明方式_主たる居室</t>
    <phoneticPr fontId="1"/>
  </si>
  <si>
    <t>調光が可能な制御_主たる居室</t>
    <phoneticPr fontId="1"/>
  </si>
  <si>
    <t>調光が可能な制御_その他の居室</t>
    <phoneticPr fontId="1"/>
  </si>
  <si>
    <t>非居室の照明設備</t>
    <phoneticPr fontId="1"/>
  </si>
  <si>
    <t>照明器具の種類_非居室</t>
    <phoneticPr fontId="1"/>
  </si>
  <si>
    <t>主たる居室の照明設備</t>
  </si>
  <si>
    <t>照明器具の種類_主たる居室</t>
  </si>
  <si>
    <t>多灯分散照明方式_主たる居室</t>
  </si>
  <si>
    <t>調光が可能な制御_主たる居室</t>
  </si>
  <si>
    <t>その他の居室の照明設備</t>
  </si>
  <si>
    <t>照明器具の種類_その他の居室</t>
  </si>
  <si>
    <t>調光が可能な制御_その他の居室</t>
  </si>
  <si>
    <t>非居室の照明設備</t>
  </si>
  <si>
    <t>照明器具の種類_非居室</t>
  </si>
  <si>
    <t>照明_主たる居室の照明設備</t>
  </si>
  <si>
    <t>照明_照明器具の種類_主たる居室</t>
  </si>
  <si>
    <t>照明_多灯分散照明方式_主たる居室</t>
  </si>
  <si>
    <t>照明_調光が可能な制御_主たる居室</t>
  </si>
  <si>
    <t>照明_その他の居室の照明設備</t>
  </si>
  <si>
    <t>照明_照明器具の種類_その他の居室</t>
  </si>
  <si>
    <t>照明_調光が可能な制御_その他の居室</t>
  </si>
  <si>
    <t>照明_非居室の照明設備</t>
  </si>
  <si>
    <t>照明_照明器具の種類_非居室</t>
  </si>
  <si>
    <t>09_太陽光</t>
    <rPh sb="3" eb="6">
      <t>タイヨウコウ</t>
    </rPh>
    <phoneticPr fontId="1"/>
  </si>
  <si>
    <t>太陽光01</t>
    <rPh sb="0" eb="3">
      <t>タイヨウコウ</t>
    </rPh>
    <phoneticPr fontId="1"/>
  </si>
  <si>
    <t>太陽光02</t>
    <rPh sb="0" eb="3">
      <t>タイヨウコウ</t>
    </rPh>
    <phoneticPr fontId="1"/>
  </si>
  <si>
    <t>太陽光03</t>
    <rPh sb="0" eb="3">
      <t>タイヨウコウ</t>
    </rPh>
    <phoneticPr fontId="1"/>
  </si>
  <si>
    <t>太陽光04</t>
    <rPh sb="0" eb="3">
      <t>タイヨウコウ</t>
    </rPh>
    <phoneticPr fontId="1"/>
  </si>
  <si>
    <t>太陽光発電設備</t>
  </si>
  <si>
    <t>発電の評価</t>
  </si>
  <si>
    <t>方位の異なるパネルの面数</t>
  </si>
  <si>
    <t>パワーコンディショナの定格負荷効率の入力</t>
  </si>
  <si>
    <t>パワーコンディショナの定格負荷効率</t>
  </si>
  <si>
    <t>評価する</t>
  </si>
  <si>
    <t>1面</t>
  </si>
  <si>
    <t>2面</t>
  </si>
  <si>
    <t>3面</t>
  </si>
  <si>
    <t>4面</t>
  </si>
  <si>
    <t>kW (小数点以下2桁)</t>
  </si>
  <si>
    <t>結晶シリコン系太陽電池</t>
  </si>
  <si>
    <t>結晶シリコン系以外の太陽電池</t>
  </si>
  <si>
    <t>架台設置形</t>
  </si>
  <si>
    <t>屋根置き形</t>
  </si>
  <si>
    <t>その他</t>
  </si>
  <si>
    <t>真南から東および西へ15度未満</t>
  </si>
  <si>
    <t>真南から東へ15度以上45度未満</t>
  </si>
  <si>
    <t>真南から東へ45度以上75度未満</t>
  </si>
  <si>
    <t>真南から東へ75度以上105度未満</t>
  </si>
  <si>
    <t>真南から東へ105度以上135度未満</t>
  </si>
  <si>
    <t>真南から東へ135度以上165度未満</t>
  </si>
  <si>
    <t>真南から東および西へ165度以上真北まで</t>
  </si>
  <si>
    <t>真南から西へ135度以上165度未満</t>
  </si>
  <si>
    <t>真南から西へ105度以上135度未満</t>
  </si>
  <si>
    <t>真南から西へ75度以上105度未満</t>
  </si>
  <si>
    <t>真南から西へ45度以上75度未満</t>
  </si>
  <si>
    <t>真南から西へ15度以上45度未満</t>
  </si>
  <si>
    <t>0度（水平）</t>
  </si>
  <si>
    <t>10度</t>
  </si>
  <si>
    <t>20度</t>
  </si>
  <si>
    <t>30度</t>
  </si>
  <si>
    <t>40度</t>
  </si>
  <si>
    <t>50度</t>
  </si>
  <si>
    <t>60度</t>
  </si>
  <si>
    <t>70度</t>
  </si>
  <si>
    <t>80度</t>
  </si>
  <si>
    <t>90度（鉛直）</t>
  </si>
  <si>
    <t>太陽光発電設備</t>
    <phoneticPr fontId="1"/>
  </si>
  <si>
    <t>発電の評価</t>
    <phoneticPr fontId="1"/>
  </si>
  <si>
    <t>方位の異なるパネルの面数</t>
    <phoneticPr fontId="1"/>
  </si>
  <si>
    <t>パワーコンディショナの定格負荷効率の入力</t>
    <phoneticPr fontId="1"/>
  </si>
  <si>
    <t>パワーコンディショナの定格負荷効率</t>
    <phoneticPr fontId="1"/>
  </si>
  <si>
    <t>太陽電池アレイの種類_パネル1</t>
  </si>
  <si>
    <t>太陽電池アレイ設置方式_パネル1</t>
  </si>
  <si>
    <t>パネルの設置方位角_パネル1</t>
  </si>
  <si>
    <t>パネル設置傾斜角_パネル1</t>
  </si>
  <si>
    <t>太陽電池アレイのシステム容量_パネル1</t>
  </si>
  <si>
    <t>太陽電池アレイのシステム容量_パネル2</t>
  </si>
  <si>
    <t>太陽電池アレイの種類_パネル2</t>
  </si>
  <si>
    <t>太陽電池アレイ設置方式_パネル2</t>
  </si>
  <si>
    <t>パネルの設置方位角_パネル2</t>
  </si>
  <si>
    <t>パネル設置傾斜角_パネル2</t>
  </si>
  <si>
    <t>太陽電池アレイのシステム容量_パネル3</t>
  </si>
  <si>
    <t>太陽電池アレイの種類_パネル3</t>
  </si>
  <si>
    <t>太陽電池アレイ設置方式_パネル3</t>
  </si>
  <si>
    <t>パネルの設置方位角_パネル3</t>
  </si>
  <si>
    <t>パネル設置傾斜角_パネル3</t>
  </si>
  <si>
    <t>太陽光05</t>
    <rPh sb="0" eb="3">
      <t>タイヨウコウ</t>
    </rPh>
    <phoneticPr fontId="1"/>
  </si>
  <si>
    <t>太陽光06</t>
    <rPh sb="0" eb="3">
      <t>タイヨウコウ</t>
    </rPh>
    <phoneticPr fontId="1"/>
  </si>
  <si>
    <t>太陽光07</t>
    <rPh sb="0" eb="3">
      <t>タイヨウコウ</t>
    </rPh>
    <phoneticPr fontId="1"/>
  </si>
  <si>
    <t>太陽光08</t>
    <rPh sb="0" eb="3">
      <t>タイヨウコウ</t>
    </rPh>
    <phoneticPr fontId="1"/>
  </si>
  <si>
    <t>太陽光09</t>
    <rPh sb="0" eb="3">
      <t>タイヨウコウ</t>
    </rPh>
    <phoneticPr fontId="1"/>
  </si>
  <si>
    <t>太陽光10</t>
    <rPh sb="0" eb="3">
      <t>タイヨウコウ</t>
    </rPh>
    <phoneticPr fontId="1"/>
  </si>
  <si>
    <t>太陽光11</t>
    <rPh sb="0" eb="3">
      <t>タイヨウコウ</t>
    </rPh>
    <phoneticPr fontId="1"/>
  </si>
  <si>
    <t>太陽光12</t>
    <rPh sb="0" eb="3">
      <t>タイヨウコウ</t>
    </rPh>
    <phoneticPr fontId="1"/>
  </si>
  <si>
    <t>太陽光13</t>
    <rPh sb="0" eb="3">
      <t>タイヨウコウ</t>
    </rPh>
    <phoneticPr fontId="1"/>
  </si>
  <si>
    <t>太陽光14</t>
    <rPh sb="0" eb="3">
      <t>タイヨウコウ</t>
    </rPh>
    <phoneticPr fontId="1"/>
  </si>
  <si>
    <t>太陽光15</t>
    <rPh sb="0" eb="3">
      <t>タイヨウコウ</t>
    </rPh>
    <phoneticPr fontId="1"/>
  </si>
  <si>
    <t>太陽光16</t>
    <rPh sb="0" eb="3">
      <t>タイヨウコウ</t>
    </rPh>
    <phoneticPr fontId="1"/>
  </si>
  <si>
    <t>太陽光17</t>
    <rPh sb="0" eb="3">
      <t>タイヨウコウ</t>
    </rPh>
    <phoneticPr fontId="1"/>
  </si>
  <si>
    <t>太陽光18</t>
    <rPh sb="0" eb="3">
      <t>タイヨウコウ</t>
    </rPh>
    <phoneticPr fontId="1"/>
  </si>
  <si>
    <t>太陽光19</t>
    <rPh sb="0" eb="3">
      <t>タイヨウコウ</t>
    </rPh>
    <phoneticPr fontId="1"/>
  </si>
  <si>
    <t>太陽光20</t>
    <rPh sb="0" eb="3">
      <t>タイヨウコウ</t>
    </rPh>
    <phoneticPr fontId="1"/>
  </si>
  <si>
    <t>太陽光_太陽光発電設備</t>
  </si>
  <si>
    <t>太陽光_発電の評価</t>
  </si>
  <si>
    <t>太陽光_方位の異なるパネルの面数</t>
  </si>
  <si>
    <t>太陽光_パワーコンディショナの定格負荷効率の入力</t>
  </si>
  <si>
    <t>太陽光_パワーコンディショナの定格負荷効率</t>
  </si>
  <si>
    <t>太陽光_太陽電池アレイのシステム容量_パネル1</t>
  </si>
  <si>
    <t>太陽光_太陽電池アレイの種類_パネル1</t>
  </si>
  <si>
    <t>太陽光_太陽電池アレイ設置方式_パネル1</t>
  </si>
  <si>
    <t>太陽光_パネルの設置方位角_パネル1</t>
  </si>
  <si>
    <t>太陽光_パネル設置傾斜角_パネル1</t>
  </si>
  <si>
    <t>太陽光_太陽電池アレイのシステム容量_パネル2</t>
  </si>
  <si>
    <t>太陽光_太陽電池アレイの種類_パネル2</t>
  </si>
  <si>
    <t>太陽光_太陽電池アレイ設置方式_パネル2</t>
  </si>
  <si>
    <t>太陽光_パネルの設置方位角_パネル2</t>
  </si>
  <si>
    <t>太陽光_パネル設置傾斜角_パネル2</t>
  </si>
  <si>
    <t>太陽光_太陽電池アレイのシステム容量_パネル3</t>
  </si>
  <si>
    <t>太陽光_太陽電池アレイの種類_パネル3</t>
  </si>
  <si>
    <t>太陽光_太陽電池アレイ設置方式_パネル3</t>
  </si>
  <si>
    <t>太陽光_パネルの設置方位角_パネル3</t>
  </si>
  <si>
    <t>太陽光_パネル設置傾斜角_パネル3</t>
  </si>
  <si>
    <t>太陽熱01</t>
    <rPh sb="0" eb="3">
      <t>タイヨウネツ</t>
    </rPh>
    <phoneticPr fontId="1"/>
  </si>
  <si>
    <t>太陽熱02</t>
    <rPh sb="0" eb="3">
      <t>タイヨウネツ</t>
    </rPh>
    <phoneticPr fontId="1"/>
  </si>
  <si>
    <t>太陽熱03</t>
    <rPh sb="0" eb="3">
      <t>タイヨウネツ</t>
    </rPh>
    <phoneticPr fontId="1"/>
  </si>
  <si>
    <t>太陽熱04</t>
    <rPh sb="0" eb="3">
      <t>タイヨウネツ</t>
    </rPh>
    <phoneticPr fontId="1"/>
  </si>
  <si>
    <t>太陽熱05</t>
    <rPh sb="0" eb="3">
      <t>タイヨウネツ</t>
    </rPh>
    <phoneticPr fontId="1"/>
  </si>
  <si>
    <t>太陽熱06</t>
    <rPh sb="0" eb="3">
      <t>タイヨウネツ</t>
    </rPh>
    <phoneticPr fontId="1"/>
  </si>
  <si>
    <t>太陽熱07</t>
    <rPh sb="0" eb="3">
      <t>タイヨウネツ</t>
    </rPh>
    <phoneticPr fontId="1"/>
  </si>
  <si>
    <t>太陽熱08</t>
    <rPh sb="0" eb="3">
      <t>タイヨウネツ</t>
    </rPh>
    <phoneticPr fontId="1"/>
  </si>
  <si>
    <t>太陽熱09</t>
    <rPh sb="0" eb="3">
      <t>タイヨウネツ</t>
    </rPh>
    <phoneticPr fontId="1"/>
  </si>
  <si>
    <t>太陽熱10</t>
    <rPh sb="0" eb="3">
      <t>タイヨウネツ</t>
    </rPh>
    <phoneticPr fontId="1"/>
  </si>
  <si>
    <t>太陽熱11</t>
    <rPh sb="0" eb="3">
      <t>タイヨウネツ</t>
    </rPh>
    <phoneticPr fontId="1"/>
  </si>
  <si>
    <t>太陽熱12</t>
    <rPh sb="0" eb="3">
      <t>タイヨウネツ</t>
    </rPh>
    <phoneticPr fontId="1"/>
  </si>
  <si>
    <t>太陽熱13</t>
    <rPh sb="0" eb="3">
      <t>タイヨウネツ</t>
    </rPh>
    <phoneticPr fontId="1"/>
  </si>
  <si>
    <t>太陽熱14</t>
    <rPh sb="0" eb="3">
      <t>タイヨウネツ</t>
    </rPh>
    <phoneticPr fontId="1"/>
  </si>
  <si>
    <t>太陽熱15</t>
    <rPh sb="0" eb="3">
      <t>タイヨウネツ</t>
    </rPh>
    <phoneticPr fontId="1"/>
  </si>
  <si>
    <t>太陽熱16</t>
    <rPh sb="0" eb="3">
      <t>タイヨウネツ</t>
    </rPh>
    <phoneticPr fontId="1"/>
  </si>
  <si>
    <t>太陽熱17</t>
    <rPh sb="0" eb="3">
      <t>タイヨウネツ</t>
    </rPh>
    <phoneticPr fontId="1"/>
  </si>
  <si>
    <t>太陽熱18</t>
    <rPh sb="0" eb="3">
      <t>タイヨウネツ</t>
    </rPh>
    <phoneticPr fontId="1"/>
  </si>
  <si>
    <t>太陽熱19</t>
    <rPh sb="0" eb="3">
      <t>タイヨウネツ</t>
    </rPh>
    <phoneticPr fontId="1"/>
  </si>
  <si>
    <t>太陽熱20</t>
    <rPh sb="0" eb="3">
      <t>タイヨウネツ</t>
    </rPh>
    <phoneticPr fontId="1"/>
  </si>
  <si>
    <t>太陽熱21</t>
    <rPh sb="0" eb="3">
      <t>タイヨウネツ</t>
    </rPh>
    <phoneticPr fontId="1"/>
  </si>
  <si>
    <t>太陽熱22</t>
    <rPh sb="0" eb="3">
      <t>タイヨウネツ</t>
    </rPh>
    <phoneticPr fontId="1"/>
  </si>
  <si>
    <t>10_太陽熱</t>
    <rPh sb="3" eb="5">
      <t>タイヨウ</t>
    </rPh>
    <rPh sb="5" eb="6">
      <t>ネツ</t>
    </rPh>
    <phoneticPr fontId="1"/>
  </si>
  <si>
    <t>太陽熱01</t>
    <rPh sb="0" eb="2">
      <t>タイヨウ</t>
    </rPh>
    <rPh sb="2" eb="3">
      <t>ネツ</t>
    </rPh>
    <phoneticPr fontId="1"/>
  </si>
  <si>
    <t>太陽熱02</t>
    <rPh sb="0" eb="2">
      <t>タイヨウ</t>
    </rPh>
    <rPh sb="2" eb="3">
      <t>ネツ</t>
    </rPh>
    <phoneticPr fontId="1"/>
  </si>
  <si>
    <t>太陽熱03</t>
    <rPh sb="0" eb="2">
      <t>タイヨウ</t>
    </rPh>
    <rPh sb="2" eb="3">
      <t>ネツ</t>
    </rPh>
    <phoneticPr fontId="1"/>
  </si>
  <si>
    <t>太陽熱04</t>
    <rPh sb="0" eb="2">
      <t>タイヨウ</t>
    </rPh>
    <rPh sb="2" eb="3">
      <t>ネツ</t>
    </rPh>
    <phoneticPr fontId="1"/>
  </si>
  <si>
    <t>液体集熱式太陽熱利用設備</t>
  </si>
  <si>
    <t>液体集熱式太陽熱利用設備</t>
    <phoneticPr fontId="1"/>
  </si>
  <si>
    <t>設備の種類</t>
  </si>
  <si>
    <t>開放形太陽熱温水器</t>
  </si>
  <si>
    <t>浴槽落とし込み方式</t>
  </si>
  <si>
    <t>太陽熱用水栓</t>
  </si>
  <si>
    <t>シャワー・浴槽水栓</t>
  </si>
  <si>
    <t>浴槽水栓</t>
  </si>
  <si>
    <t>接続ユニット方式</t>
  </si>
  <si>
    <t>給水予熱方式</t>
  </si>
  <si>
    <t>三方弁方式</t>
  </si>
  <si>
    <t>開放形太陽熱温水器</t>
    <phoneticPr fontId="1"/>
  </si>
  <si>
    <t>給湯接続方式の種類_開放形太陽熱温水器</t>
  </si>
  <si>
    <t>給湯接続方式の種類_開放形太陽熱温水器</t>
    <phoneticPr fontId="1"/>
  </si>
  <si>
    <t>密閉形太陽熱温水器（直圧式）</t>
    <phoneticPr fontId="1"/>
  </si>
  <si>
    <t>給湯接続方式の種類_密閉形太陽熱温水器（直圧式）</t>
    <phoneticPr fontId="1"/>
  </si>
  <si>
    <t>ソーラーシステム</t>
    <phoneticPr fontId="1"/>
  </si>
  <si>
    <t>給湯接続方式の種類_ソーラーシステム</t>
  </si>
  <si>
    <t>給湯接続方式の種類_ソーラーシステム</t>
    <phoneticPr fontId="1"/>
  </si>
  <si>
    <t>ソーラーシステムの指定</t>
  </si>
  <si>
    <t>開放形太陽熱温水器の指定</t>
  </si>
  <si>
    <t>集熱部総面積</t>
  </si>
  <si>
    <t>集熱部の設置方位角</t>
  </si>
  <si>
    <t>集熱部の設置傾斜角</t>
  </si>
  <si>
    <t>貯湯量</t>
  </si>
  <si>
    <t> m2 (小数点以下2桁)</t>
  </si>
  <si>
    <t>L (整数)</t>
  </si>
  <si>
    <t>密閉形太陽熱温水器の指定</t>
  </si>
  <si>
    <t>蓄熱タンク容量</t>
  </si>
  <si>
    <t>品番</t>
  </si>
  <si>
    <t>メーカ名、品番等</t>
  </si>
  <si>
    <t>（品番）</t>
    <rPh sb="1" eb="3">
      <t>ヒンバン</t>
    </rPh>
    <phoneticPr fontId="1"/>
  </si>
  <si>
    <t>集熱部効率係数(b0)</t>
  </si>
  <si>
    <t>集熱部損失係数(b1)</t>
  </si>
  <si>
    <t>基準循環流量</t>
  </si>
  <si>
    <t>熱媒の定圧比熱</t>
  </si>
  <si>
    <t>集熱配管の線熱通過率</t>
  </si>
  <si>
    <t>熱交換器伝熱係数</t>
  </si>
  <si>
    <t>循環ポンプ連続運転時電力</t>
  </si>
  <si>
    <t>循環ポンプ集熱判定時電力</t>
  </si>
  <si>
    <t>有効出湯効率</t>
  </si>
  <si>
    <t>蓄熱槽熱損失係数</t>
  </si>
  <si>
    <t>W/(m2・K) (小数点以下2桁)</t>
  </si>
  <si>
    <t>kg/h (整数)</t>
  </si>
  <si>
    <t>kJ/(kg・K) (小数点以下2桁)</t>
  </si>
  <si>
    <t>W/(m・K) (小数点以下3桁)</t>
  </si>
  <si>
    <t>W/K (整数)</t>
  </si>
  <si>
    <t>W (小数点以下1桁)</t>
  </si>
  <si>
    <t>W/K (小数点以下2桁)</t>
  </si>
  <si>
    <t>空気集熱式太陽熱利用設備</t>
  </si>
  <si>
    <t>集熱器群の数</t>
  </si>
  <si>
    <t>集熱部の方位角</t>
  </si>
  <si>
    <t>空気搬送ファンの自立運転用太陽光発電装置</t>
  </si>
  <si>
    <t>空気搬送ファンの種別</t>
  </si>
  <si>
    <t>ACファン</t>
  </si>
  <si>
    <t>DCファン</t>
  </si>
  <si>
    <t>機外静圧をゼロとした時の空気搬送ファンの風量</t>
  </si>
  <si>
    <t>集熱した熱の給湯への利用</t>
  </si>
  <si>
    <t>利用しない</t>
  </si>
  <si>
    <t>集熱後の空気を供給する空間</t>
  </si>
  <si>
    <t>床下空間</t>
  </si>
  <si>
    <t>床下空間以外の室内空間</t>
  </si>
  <si>
    <t>集熱後の空気を供給する床下の面積の割合</t>
  </si>
  <si>
    <t> m2 (小数点以下1桁)</t>
  </si>
  <si>
    <t>循環ポンプの自立運転用太陽光発電装置</t>
  </si>
  <si>
    <t>給湯部のタンク容量</t>
  </si>
  <si>
    <t>W/m2K (小数点以下1桁)</t>
  </si>
  <si>
    <t>kg/(s・m2) (小数点以下4桁)</t>
  </si>
  <si>
    <t>2.0</t>
  </si>
  <si>
    <t>2.0</t>
    <phoneticPr fontId="1"/>
  </si>
  <si>
    <t>太陽熱05</t>
    <rPh sb="0" eb="2">
      <t>タイヨウ</t>
    </rPh>
    <rPh sb="2" eb="3">
      <t>ネツ</t>
    </rPh>
    <phoneticPr fontId="1"/>
  </si>
  <si>
    <t>太陽熱06</t>
    <rPh sb="0" eb="2">
      <t>タイヨウ</t>
    </rPh>
    <rPh sb="2" eb="3">
      <t>ネツ</t>
    </rPh>
    <phoneticPr fontId="1"/>
  </si>
  <si>
    <t>太陽熱07</t>
    <rPh sb="0" eb="2">
      <t>タイヨウ</t>
    </rPh>
    <rPh sb="2" eb="3">
      <t>ネツ</t>
    </rPh>
    <phoneticPr fontId="1"/>
  </si>
  <si>
    <t>m2 (小数点以下1桁)</t>
  </si>
  <si>
    <t>0.1</t>
  </si>
  <si>
    <t>0.1</t>
    <phoneticPr fontId="1"/>
  </si>
  <si>
    <t>0.0107</t>
  </si>
  <si>
    <t>0.0107</t>
    <phoneticPr fontId="1"/>
  </si>
  <si>
    <t>集熱器群の面積_集熱器群その1</t>
  </si>
  <si>
    <t>集熱器群の面積_集熱器群その1</t>
    <phoneticPr fontId="1"/>
  </si>
  <si>
    <t>集熱器群の傾斜角_集熱器群その1</t>
  </si>
  <si>
    <t>集熱器群の傾斜角_集熱器群その1</t>
    <phoneticPr fontId="1"/>
  </si>
  <si>
    <t>集熱器群の仕様の入力_集熱器群その1</t>
  </si>
  <si>
    <t>集熱器群の仕様の入力_集熱器群その1</t>
    <phoneticPr fontId="1"/>
  </si>
  <si>
    <t>集熱器の集熱効率特性線図一次近似式の切片_集熱器群その1</t>
  </si>
  <si>
    <t>集熱器の集熱効率特性線図一次近似式の切片_集熱器群その1</t>
    <phoneticPr fontId="1"/>
  </si>
  <si>
    <t>集熱器の集熱効率特性線図一次近似式の傾き_集熱器群その1</t>
  </si>
  <si>
    <t>集熱器の集熱効率特性線図一次近似式の傾き_集熱器群その1</t>
    <phoneticPr fontId="1"/>
  </si>
  <si>
    <t>集熱器の集熱性能試験時における単位面積当たりの空気の質量流量_集熱器群その1</t>
  </si>
  <si>
    <t>集熱器の集熱性能試験時における単位面積当たりの空気の質量流量_集熱器群その1</t>
    <phoneticPr fontId="1"/>
  </si>
  <si>
    <t>集熱器群の面積_集熱器群その2</t>
  </si>
  <si>
    <t>集熱器群の面積_集熱器群その2</t>
    <phoneticPr fontId="1"/>
  </si>
  <si>
    <t>集熱器群の傾斜角_集熱器群その2</t>
  </si>
  <si>
    <t>集熱器群の傾斜角_集熱器群その2</t>
    <phoneticPr fontId="1"/>
  </si>
  <si>
    <t>集熱器群の仕様の入力_集熱器群その2</t>
  </si>
  <si>
    <t>集熱器群の仕様の入力_集熱器群その2</t>
    <phoneticPr fontId="1"/>
  </si>
  <si>
    <t>集熱器の集熱効率特性線図一次近似式の切片_集熱器群その2</t>
  </si>
  <si>
    <t>集熱器の集熱効率特性線図一次近似式の切片_集熱器群その2</t>
    <phoneticPr fontId="1"/>
  </si>
  <si>
    <t>集熱器の集熱効率特性線図一次近似式の傾き_集熱器群その2</t>
  </si>
  <si>
    <t>集熱器の集熱効率特性線図一次近似式の傾き_集熱器群その2</t>
    <phoneticPr fontId="1"/>
  </si>
  <si>
    <t>集熱器の集熱性能試験時における単位面積当たりの空気の質量流量_集熱器群その2</t>
  </si>
  <si>
    <t>集熱器の集熱性能試験時における単位面積当たりの空気の質量流量_集熱器群その2</t>
    <phoneticPr fontId="1"/>
  </si>
  <si>
    <t>集熱器群の面積_集熱器群その3</t>
  </si>
  <si>
    <t>集熱器群の面積_集熱器群その3</t>
    <phoneticPr fontId="1"/>
  </si>
  <si>
    <t>集熱器群の傾斜角_集熱器群その3</t>
  </si>
  <si>
    <t>集熱器群の傾斜角_集熱器群その3</t>
    <phoneticPr fontId="1"/>
  </si>
  <si>
    <t>集熱器群の仕様の入力_集熱器群その3</t>
  </si>
  <si>
    <t>集熱器群の仕様の入力_集熱器群その3</t>
    <phoneticPr fontId="1"/>
  </si>
  <si>
    <t>集熱器の集熱効率特性線図一次近似式の切片_集熱器群その3</t>
  </si>
  <si>
    <t>集熱器の集熱効率特性線図一次近似式の切片_集熱器群その3</t>
    <phoneticPr fontId="1"/>
  </si>
  <si>
    <t>集熱器の集熱効率特性線図一次近似式の傾き_集熱器群その3</t>
  </si>
  <si>
    <t>集熱器の集熱効率特性線図一次近似式の傾き_集熱器群その3</t>
    <phoneticPr fontId="1"/>
  </si>
  <si>
    <t>集熱器の集熱性能試験時における単位面積当たりの空気の質量流量_集熱器群その3</t>
  </si>
  <si>
    <t>集熱器の集熱性能試験時における単位面積当たりの空気の質量流量_集熱器群その3</t>
    <phoneticPr fontId="1"/>
  </si>
  <si>
    <t>太陽熱23</t>
    <rPh sb="0" eb="3">
      <t>タイヨウネツ</t>
    </rPh>
    <phoneticPr fontId="1"/>
  </si>
  <si>
    <t>太陽熱24</t>
    <rPh sb="0" eb="3">
      <t>タイヨウネツ</t>
    </rPh>
    <phoneticPr fontId="1"/>
  </si>
  <si>
    <t>太陽熱25</t>
    <rPh sb="0" eb="3">
      <t>タイヨウネツ</t>
    </rPh>
    <phoneticPr fontId="1"/>
  </si>
  <si>
    <t>太陽熱26</t>
    <rPh sb="0" eb="3">
      <t>タイヨウネツ</t>
    </rPh>
    <phoneticPr fontId="1"/>
  </si>
  <si>
    <t>太陽熱27</t>
    <rPh sb="0" eb="3">
      <t>タイヨウネツ</t>
    </rPh>
    <phoneticPr fontId="1"/>
  </si>
  <si>
    <t>太陽熱28</t>
    <rPh sb="0" eb="3">
      <t>タイヨウネツ</t>
    </rPh>
    <phoneticPr fontId="1"/>
  </si>
  <si>
    <t>太陽熱29</t>
    <rPh sb="0" eb="3">
      <t>タイヨウネツ</t>
    </rPh>
    <phoneticPr fontId="1"/>
  </si>
  <si>
    <t>太陽熱30</t>
    <rPh sb="0" eb="3">
      <t>タイヨウネツ</t>
    </rPh>
    <phoneticPr fontId="1"/>
  </si>
  <si>
    <t>太陽熱31</t>
    <rPh sb="0" eb="3">
      <t>タイヨウネツ</t>
    </rPh>
    <phoneticPr fontId="1"/>
  </si>
  <si>
    <t>太陽熱32</t>
    <rPh sb="0" eb="3">
      <t>タイヨウネツ</t>
    </rPh>
    <phoneticPr fontId="1"/>
  </si>
  <si>
    <t>太陽熱33</t>
    <rPh sb="0" eb="3">
      <t>タイヨウネツ</t>
    </rPh>
    <phoneticPr fontId="1"/>
  </si>
  <si>
    <t>太陽熱34</t>
    <rPh sb="0" eb="3">
      <t>タイヨウネツ</t>
    </rPh>
    <phoneticPr fontId="1"/>
  </si>
  <si>
    <t>太陽熱35</t>
    <rPh sb="0" eb="3">
      <t>タイヨウネツ</t>
    </rPh>
    <phoneticPr fontId="1"/>
  </si>
  <si>
    <t>太陽熱36</t>
    <rPh sb="0" eb="3">
      <t>タイヨウネツ</t>
    </rPh>
    <phoneticPr fontId="1"/>
  </si>
  <si>
    <t>太陽熱37</t>
    <rPh sb="0" eb="3">
      <t>タイヨウネツ</t>
    </rPh>
    <phoneticPr fontId="1"/>
  </si>
  <si>
    <t>太陽熱38</t>
    <rPh sb="0" eb="3">
      <t>タイヨウネツ</t>
    </rPh>
    <phoneticPr fontId="1"/>
  </si>
  <si>
    <t>太陽熱39</t>
    <rPh sb="0" eb="3">
      <t>タイヨウネツ</t>
    </rPh>
    <phoneticPr fontId="1"/>
  </si>
  <si>
    <t>太陽熱40</t>
    <rPh sb="0" eb="3">
      <t>タイヨウネツ</t>
    </rPh>
    <phoneticPr fontId="1"/>
  </si>
  <si>
    <t>太陽熱41</t>
    <rPh sb="0" eb="3">
      <t>タイヨウネツ</t>
    </rPh>
    <phoneticPr fontId="1"/>
  </si>
  <si>
    <t>太陽熱42</t>
    <rPh sb="0" eb="3">
      <t>タイヨウネツ</t>
    </rPh>
    <phoneticPr fontId="1"/>
  </si>
  <si>
    <t>太陽熱43</t>
    <rPh sb="0" eb="3">
      <t>タイヨウネツ</t>
    </rPh>
    <phoneticPr fontId="1"/>
  </si>
  <si>
    <t>太陽熱44</t>
    <rPh sb="0" eb="3">
      <t>タイヨウネツ</t>
    </rPh>
    <phoneticPr fontId="1"/>
  </si>
  <si>
    <t>太陽熱45</t>
    <rPh sb="0" eb="3">
      <t>タイヨウネツ</t>
    </rPh>
    <phoneticPr fontId="1"/>
  </si>
  <si>
    <t>太陽熱46</t>
    <rPh sb="0" eb="3">
      <t>タイヨウネツ</t>
    </rPh>
    <phoneticPr fontId="1"/>
  </si>
  <si>
    <t>太陽熱47</t>
    <rPh sb="0" eb="3">
      <t>タイヨウネツ</t>
    </rPh>
    <phoneticPr fontId="1"/>
  </si>
  <si>
    <t>太陽熱48</t>
    <rPh sb="0" eb="3">
      <t>タイヨウネツ</t>
    </rPh>
    <phoneticPr fontId="1"/>
  </si>
  <si>
    <t>太陽熱49</t>
    <rPh sb="0" eb="3">
      <t>タイヨウネツ</t>
    </rPh>
    <phoneticPr fontId="1"/>
  </si>
  <si>
    <t>太陽熱50</t>
    <rPh sb="0" eb="3">
      <t>タイヨウネツ</t>
    </rPh>
    <phoneticPr fontId="1"/>
  </si>
  <si>
    <t>太陽熱51</t>
    <rPh sb="0" eb="3">
      <t>タイヨウネツ</t>
    </rPh>
    <phoneticPr fontId="1"/>
  </si>
  <si>
    <t>太陽熱52</t>
    <rPh sb="0" eb="3">
      <t>タイヨウネツ</t>
    </rPh>
    <phoneticPr fontId="1"/>
  </si>
  <si>
    <t>太陽熱53</t>
    <rPh sb="0" eb="3">
      <t>タイヨウネツ</t>
    </rPh>
    <phoneticPr fontId="1"/>
  </si>
  <si>
    <t>太陽熱54</t>
    <rPh sb="0" eb="3">
      <t>タイヨウネツ</t>
    </rPh>
    <phoneticPr fontId="1"/>
  </si>
  <si>
    <t>太陽熱55</t>
    <rPh sb="0" eb="3">
      <t>タイヨウネツ</t>
    </rPh>
    <phoneticPr fontId="1"/>
  </si>
  <si>
    <t>太陽熱_液体集熱式太陽熱利用設備</t>
  </si>
  <si>
    <t>太陽熱_設備の種類</t>
  </si>
  <si>
    <t>太陽熱_給湯接続方式の種類_開放形太陽熱温水器</t>
  </si>
  <si>
    <t>太陽熱_給湯接続方式の種類_ソーラーシステム</t>
  </si>
  <si>
    <t>太陽熱_太陽熱用水栓</t>
  </si>
  <si>
    <t>太陽熱_開放形太陽熱温水器の指定</t>
  </si>
  <si>
    <t>太陽熱_密閉形太陽熱温水器の指定</t>
  </si>
  <si>
    <t>太陽熱_ソーラーシステムの指定</t>
  </si>
  <si>
    <t>太陽熱_集熱部総面積</t>
  </si>
  <si>
    <t>太陽熱_集熱部の設置方位角</t>
  </si>
  <si>
    <t>太陽熱_集熱部の設置傾斜角</t>
  </si>
  <si>
    <t>太陽熱_貯湯量</t>
  </si>
  <si>
    <t>太陽熱_蓄熱タンク容量</t>
  </si>
  <si>
    <t>太陽熱_品番</t>
  </si>
  <si>
    <t>太陽熱_基準循環流量</t>
  </si>
  <si>
    <t>太陽熱_熱媒の定圧比熱</t>
  </si>
  <si>
    <t>太陽熱_集熱配管の線熱通過率</t>
  </si>
  <si>
    <t>太陽熱_熱交換器伝熱係数</t>
  </si>
  <si>
    <t>太陽熱_循環ポンプ連続運転時電力</t>
  </si>
  <si>
    <t>太陽熱_循環ポンプ集熱判定時電力</t>
  </si>
  <si>
    <t>太陽熱_有効出湯効率</t>
  </si>
  <si>
    <t>太陽熱_蓄熱槽熱損失係数</t>
  </si>
  <si>
    <t>太陽熱_空気集熱式太陽熱利用設備</t>
  </si>
  <si>
    <t>太陽熱_集熱器群の数</t>
  </si>
  <si>
    <t>太陽熱_集熱部の方位角</t>
  </si>
  <si>
    <t>太陽熱_空気搬送ファンの自立運転用太陽光発電装置</t>
  </si>
  <si>
    <t>太陽熱_空気搬送ファンの種別</t>
  </si>
  <si>
    <t>太陽熱_機外静圧をゼロとした時の空気搬送ファンの風量</t>
  </si>
  <si>
    <t>太陽熱_集熱した熱の給湯への利用</t>
  </si>
  <si>
    <t>太陽熱_循環ポンプの自立運転用太陽光発電装置</t>
  </si>
  <si>
    <t>太陽熱_給湯部のタンク容量</t>
  </si>
  <si>
    <t>太陽熱_集熱後の空気を供給する空間</t>
  </si>
  <si>
    <t>太陽熱_集熱後の空気を供給する床下の面積の割合</t>
  </si>
  <si>
    <t>太陽熱_床下空間の断熱</t>
  </si>
  <si>
    <t>太陽熱_集熱器群の面積_集熱器群その1</t>
  </si>
  <si>
    <t>太陽熱_集熱器群の傾斜角_集熱器群その1</t>
  </si>
  <si>
    <t>太陽熱_集熱器群の仕様の入力_集熱器群その1</t>
  </si>
  <si>
    <t>太陽熱_集熱器の集熱効率特性線図一次近似式の切片_集熱器群その1</t>
  </si>
  <si>
    <t>太陽熱_集熱器の集熱効率特性線図一次近似式の傾き_集熱器群その1</t>
  </si>
  <si>
    <t>太陽熱_集熱器の集熱性能試験時における単位面積当たりの空気の質量流量_集熱器群その1</t>
  </si>
  <si>
    <t>太陽熱_集熱器群の面積_集熱器群その2</t>
  </si>
  <si>
    <t>太陽熱_集熱器群の傾斜角_集熱器群その2</t>
  </si>
  <si>
    <t>太陽熱_集熱器群の仕様の入力_集熱器群その2</t>
  </si>
  <si>
    <t>太陽熱_集熱器の集熱効率特性線図一次近似式の切片_集熱器群その2</t>
  </si>
  <si>
    <t>太陽熱_集熱器の集熱効率特性線図一次近似式の傾き_集熱器群その2</t>
  </si>
  <si>
    <t>太陽熱_集熱器の集熱性能試験時における単位面積当たりの空気の質量流量_集熱器群その2</t>
  </si>
  <si>
    <t>太陽熱_集熱器群の面積_集熱器群その3</t>
  </si>
  <si>
    <t>太陽熱_集熱器群の傾斜角_集熱器群その3</t>
  </si>
  <si>
    <t>太陽熱_集熱器群の仕様の入力_集熱器群その3</t>
  </si>
  <si>
    <t>太陽熱_集熱器の集熱効率特性線図一次近似式の切片_集熱器群その3</t>
  </si>
  <si>
    <t>太陽熱_集熱器の集熱効率特性線図一次近似式の傾き_集熱器群その3</t>
  </si>
  <si>
    <t>太陽熱_集熱器の集熱性能試験時における単位面積当たりの空気の質量流量_集熱器群その3</t>
  </si>
  <si>
    <t>給湯接続方式の種類_密閉形太陽熱温水器_直圧式</t>
    <phoneticPr fontId="1"/>
  </si>
  <si>
    <t>集熱部効率係数_b0</t>
    <phoneticPr fontId="1"/>
  </si>
  <si>
    <t>集熱部損失係数_b1</t>
    <phoneticPr fontId="1"/>
  </si>
  <si>
    <t>太陽熱_給湯接続方式の種類_密閉形太陽熱温水器_直圧式</t>
    <phoneticPr fontId="1"/>
  </si>
  <si>
    <t>太陽熱_集熱部効率係数_b0</t>
    <phoneticPr fontId="1"/>
  </si>
  <si>
    <t>太陽熱_集熱部損失係数_b1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</si>
</sst>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_ "/>
    <numFmt numFmtId="177" formatCode="\_xd83d_\_xdd3d_\ @"/>
    <numFmt numFmtId="178" formatCode="0_ "/>
    <numFmt numFmtId="179" formatCode="00"/>
    <numFmt numFmtId="180" formatCode="yy/mm/dd"/>
    <numFmt numFmtId="181" formatCode="m/dd\ aaa"/>
  </numFmts>
  <fonts count="10" x14ac:knownFonts="1">
    <font>
      <sz val="11"/>
      <color theme="1"/>
      <name val="游ゴシック"/>
      <family val="2"/>
      <charset val="128"/>
      <scheme val="minor"/>
    </font>
    <font>
      <sz val="6"/>
      <name val="游ゴシック"/>
      <family val="2"/>
      <charset val="128"/>
      <scheme val="minor"/>
    </font>
    <font>
      <sz val="11"/>
      <color theme="1"/>
      <name val="Yu Gothic UI"/>
      <family val="3"/>
      <charset val="128"/>
    </font>
    <font>
      <sz val="11"/>
      <color rgb="FFFF0000"/>
      <name val="Yu Gothic UI"/>
      <family val="3"/>
      <charset val="128"/>
    </font>
    <font>
      <sz val="10"/>
      <color theme="1"/>
      <name val="游ゴシック"/>
      <family val="3"/>
      <charset val="128"/>
      <scheme val="minor"/>
    </font>
    <font>
      <b/>
      <sz val="11"/>
      <color theme="3" tint="9.9978637043366805E-2"/>
      <name val="游ゴシック"/>
      <family val="3"/>
      <charset val="128"/>
      <scheme val="minor"/>
    </font>
    <font>
      <sz val="11"/>
      <color theme="3" tint="9.9978637043366805E-2"/>
      <name val="游ゴシック"/>
      <family val="3"/>
      <charset val="128"/>
      <scheme val="minor"/>
    </font>
    <font>
      <sz val="10"/>
      <name val="游ゴシック"/>
      <family val="3"/>
      <charset val="128"/>
      <scheme val="minor"/>
    </font>
    <font>
      <b/>
      <sz val="10"/>
      <color theme="1"/>
      <name val="游ゴシック"/>
      <family val="3"/>
      <charset val="128"/>
      <scheme val="minor"/>
    </font>
    <font>
      <sz val="11"/>
      <color theme="1"/>
      <name val="游ゴシック"/>
      <family val="3"/>
      <charset val="128"/>
      <scheme val="minor"/>
    </font>
  </fonts>
  <fills count="8">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4" tint="0.79998168889431442"/>
        <bgColor indexed="64"/>
      </patternFill>
    </fill>
  </fills>
  <borders count="43">
    <border>
      <left/>
      <right/>
      <top/>
      <bottom/>
      <diagonal/>
    </border>
    <border>
      <left style="thin">
        <color theme="4" tint="0.39994506668294322"/>
      </left>
      <right/>
      <top/>
      <bottom/>
      <diagonal/>
    </border>
    <border>
      <left/>
      <right style="thin">
        <color theme="4" tint="0.39994506668294322"/>
      </right>
      <top/>
      <bottom/>
      <diagonal/>
    </border>
    <border>
      <left style="thin">
        <color theme="4" tint="0.39991454817346722"/>
      </left>
      <right/>
      <top/>
      <bottom/>
      <diagonal/>
    </border>
    <border>
      <left/>
      <right style="thin">
        <color theme="4" tint="0.39991454817346722"/>
      </right>
      <top/>
      <bottom/>
      <diagonal/>
    </border>
    <border>
      <left style="thin">
        <color theme="4" tint="0.39991454817346722"/>
      </left>
      <right/>
      <top/>
      <bottom style="thin">
        <color theme="4" tint="0.39991454817346722"/>
      </bottom>
      <diagonal/>
    </border>
    <border>
      <left/>
      <right/>
      <top/>
      <bottom style="thin">
        <color theme="4" tint="0.39991454817346722"/>
      </bottom>
      <diagonal/>
    </border>
    <border>
      <left/>
      <right style="thin">
        <color theme="4" tint="0.39991454817346722"/>
      </right>
      <top/>
      <bottom style="thin">
        <color theme="4" tint="0.39991454817346722"/>
      </bottom>
      <diagonal/>
    </border>
    <border>
      <left style="thick">
        <color theme="3" tint="0.499984740745262"/>
      </left>
      <right/>
      <top style="thick">
        <color theme="3" tint="0.499984740745262"/>
      </top>
      <bottom style="medium">
        <color theme="3" tint="0.499984740745262"/>
      </bottom>
      <diagonal/>
    </border>
    <border>
      <left/>
      <right/>
      <top style="thick">
        <color theme="3" tint="0.499984740745262"/>
      </top>
      <bottom style="medium">
        <color theme="3" tint="0.499984740745262"/>
      </bottom>
      <diagonal/>
    </border>
    <border>
      <left/>
      <right style="thick">
        <color theme="3" tint="0.499984740745262"/>
      </right>
      <top style="thick">
        <color theme="3" tint="0.499984740745262"/>
      </top>
      <bottom style="medium">
        <color theme="3" tint="0.499984740745262"/>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ck">
        <color theme="3" tint="0.499984740745262"/>
      </left>
      <right/>
      <top style="medium">
        <color theme="3" tint="0.499984740745262"/>
      </top>
      <bottom style="thin">
        <color theme="0" tint="-0.24994659260841701"/>
      </bottom>
      <diagonal/>
    </border>
    <border>
      <left/>
      <right/>
      <top style="medium">
        <color theme="3" tint="0.499984740745262"/>
      </top>
      <bottom style="thin">
        <color theme="0" tint="-0.24994659260841701"/>
      </bottom>
      <diagonal/>
    </border>
    <border>
      <left/>
      <right style="thick">
        <color theme="3" tint="0.499984740745262"/>
      </right>
      <top style="medium">
        <color theme="3" tint="0.499984740745262"/>
      </top>
      <bottom style="thin">
        <color theme="0" tint="-0.24994659260841701"/>
      </bottom>
      <diagonal/>
    </border>
    <border>
      <left style="thick">
        <color theme="3" tint="0.499984740745262"/>
      </left>
      <right/>
      <top style="thin">
        <color theme="0" tint="-0.24994659260841701"/>
      </top>
      <bottom style="thin">
        <color theme="0" tint="-0.24994659260841701"/>
      </bottom>
      <diagonal/>
    </border>
    <border>
      <left/>
      <right style="thick">
        <color theme="3" tint="0.499984740745262"/>
      </right>
      <top style="thin">
        <color theme="0" tint="-0.24994659260841701"/>
      </top>
      <bottom style="thin">
        <color theme="0" tint="-0.24994659260841701"/>
      </bottom>
      <diagonal/>
    </border>
    <border>
      <left style="thick">
        <color theme="3" tint="0.499984740745262"/>
      </left>
      <right/>
      <top style="thin">
        <color theme="0" tint="-0.24994659260841701"/>
      </top>
      <bottom/>
      <diagonal/>
    </border>
    <border>
      <left/>
      <right/>
      <top style="thin">
        <color theme="0" tint="-0.24994659260841701"/>
      </top>
      <bottom/>
      <diagonal/>
    </border>
    <border>
      <left/>
      <right style="thick">
        <color theme="3" tint="0.499984740745262"/>
      </right>
      <top style="thin">
        <color theme="0" tint="-0.24994659260841701"/>
      </top>
      <bottom/>
      <diagonal/>
    </border>
    <border>
      <left/>
      <right/>
      <top style="thick">
        <color theme="3" tint="0.499984740745262"/>
      </top>
      <bottom/>
      <diagonal/>
    </border>
    <border>
      <left/>
      <right/>
      <top/>
      <bottom style="thin">
        <color indexed="64"/>
      </bottom>
      <diagonal/>
    </border>
    <border>
      <left/>
      <right style="thin">
        <color indexed="64"/>
      </right>
      <top style="thin">
        <color theme="0" tint="-0.24994659260841701"/>
      </top>
      <bottom/>
      <diagonal/>
    </border>
    <border>
      <left/>
      <right style="thin">
        <color indexed="64"/>
      </right>
      <top/>
      <bottom/>
      <diagonal/>
    </border>
    <border>
      <left/>
      <right style="thin">
        <color indexed="64"/>
      </right>
      <top/>
      <bottom style="thin">
        <color indexed="64"/>
      </bottom>
      <diagonal/>
    </border>
    <border>
      <left style="thick">
        <color theme="3" tint="0.499984740745262"/>
      </left>
      <right/>
      <top style="thin">
        <color theme="0" tint="-0.24994659260841701"/>
      </top>
      <bottom style="thick">
        <color theme="3" tint="0.499984740745262"/>
      </bottom>
      <diagonal/>
    </border>
    <border>
      <left/>
      <right/>
      <top style="thin">
        <color theme="0" tint="-0.24994659260841701"/>
      </top>
      <bottom style="thick">
        <color theme="3" tint="0.499984740745262"/>
      </bottom>
      <diagonal/>
    </border>
    <border>
      <left/>
      <right style="thick">
        <color theme="3" tint="0.499984740745262"/>
      </right>
      <top style="thin">
        <color theme="0" tint="-0.24994659260841701"/>
      </top>
      <bottom style="thick">
        <color theme="3" tint="0.499984740745262"/>
      </bottom>
      <diagonal/>
    </border>
    <border>
      <left style="thick">
        <color theme="3" tint="0.499984740745262"/>
      </left>
      <right/>
      <top/>
      <bottom/>
      <diagonal/>
    </border>
    <border>
      <left/>
      <right style="thick">
        <color theme="3" tint="0.499984740745262"/>
      </right>
      <top/>
      <bottom/>
      <diagonal/>
    </border>
    <border>
      <left style="thick">
        <color theme="3" tint="0.499984740745262"/>
      </left>
      <right/>
      <top/>
      <bottom style="thin">
        <color theme="0" tint="-0.24994659260841701"/>
      </bottom>
      <diagonal/>
    </border>
    <border>
      <left/>
      <right style="thick">
        <color theme="3" tint="0.499984740745262"/>
      </right>
      <top/>
      <bottom style="thin">
        <color theme="0" tint="-0.24994659260841701"/>
      </bottom>
      <diagonal/>
    </border>
    <border>
      <left style="thin">
        <color theme="4" tint="0.39994506668294322"/>
      </left>
      <right/>
      <top/>
      <bottom style="thin">
        <color theme="3" tint="0.499984740745262"/>
      </bottom>
      <diagonal/>
    </border>
    <border>
      <left/>
      <right/>
      <top/>
      <bottom style="thin">
        <color theme="3" tint="0.499984740745262"/>
      </bottom>
      <diagonal/>
    </border>
    <border>
      <left/>
      <right style="thin">
        <color theme="4" tint="0.39994506668294322"/>
      </right>
      <top/>
      <bottom style="thin">
        <color theme="3" tint="0.499984740745262"/>
      </bottom>
      <diagonal/>
    </border>
    <border>
      <left/>
      <right/>
      <top style="thin">
        <color indexed="64"/>
      </top>
      <bottom style="thin">
        <color indexed="64"/>
      </bottom>
      <diagonal/>
    </border>
  </borders>
  <cellStyleXfs count="1">
    <xf numFmtId="0" fontId="0" fillId="0" borderId="0">
      <alignment vertical="center"/>
    </xf>
  </cellStyleXfs>
  <cellXfs count="129">
    <xf numFmtId="0" fontId="0" fillId="0" borderId="0" xfId="0">
      <alignment vertical="center"/>
    </xf>
    <xf numFmtId="0" fontId="2" fillId="0" borderId="0" xfId="0" applyFont="1">
      <alignment vertical="center"/>
    </xf>
    <xf numFmtId="179" fontId="4" fillId="0" borderId="0" xfId="0" applyNumberFormat="1" applyFont="1" applyFill="1" applyAlignment="1">
      <alignment horizontal="left" vertical="center"/>
    </xf>
    <xf numFmtId="0" fontId="5" fillId="0" borderId="20" xfId="0" applyFont="1" applyFill="1" applyBorder="1">
      <alignment vertical="center"/>
    </xf>
    <xf numFmtId="0" fontId="0" fillId="0" borderId="20" xfId="0" applyFill="1" applyBorder="1">
      <alignment vertical="center"/>
    </xf>
    <xf numFmtId="0" fontId="0" fillId="0" borderId="21" xfId="0" applyFill="1" applyBorder="1">
      <alignment vertical="center"/>
    </xf>
    <xf numFmtId="0" fontId="5" fillId="0" borderId="12" xfId="0" applyFont="1" applyFill="1" applyBorder="1">
      <alignment vertical="center"/>
    </xf>
    <xf numFmtId="0" fontId="0" fillId="0" borderId="12" xfId="0" applyFill="1" applyBorder="1">
      <alignment vertical="center"/>
    </xf>
    <xf numFmtId="0" fontId="0" fillId="0" borderId="23" xfId="0" applyFill="1" applyBorder="1">
      <alignment vertical="center"/>
    </xf>
    <xf numFmtId="177" fontId="0" fillId="0" borderId="12" xfId="0" applyNumberFormat="1" applyFill="1" applyBorder="1">
      <alignment vertical="center"/>
    </xf>
    <xf numFmtId="0" fontId="5" fillId="2" borderId="8" xfId="0" applyFont="1" applyFill="1" applyBorder="1">
      <alignment vertical="center"/>
    </xf>
    <xf numFmtId="0" fontId="5" fillId="2" borderId="9" xfId="0" applyFont="1" applyFill="1" applyBorder="1">
      <alignment vertical="center"/>
    </xf>
    <xf numFmtId="0" fontId="6" fillId="2" borderId="10" xfId="0" applyFont="1" applyFill="1" applyBorder="1">
      <alignment vertical="center"/>
    </xf>
    <xf numFmtId="0" fontId="5" fillId="0" borderId="25" xfId="0" applyFont="1" applyFill="1" applyBorder="1">
      <alignment vertical="center"/>
    </xf>
    <xf numFmtId="177" fontId="0" fillId="0" borderId="25" xfId="0" applyNumberFormat="1" applyFill="1" applyBorder="1">
      <alignment vertical="center"/>
    </xf>
    <xf numFmtId="0" fontId="0" fillId="0" borderId="25" xfId="0" applyFill="1" applyBorder="1">
      <alignment vertical="center"/>
    </xf>
    <xf numFmtId="0" fontId="0" fillId="0" borderId="26" xfId="0" applyFill="1" applyBorder="1">
      <alignment vertical="center"/>
    </xf>
    <xf numFmtId="0" fontId="0" fillId="0" borderId="27" xfId="0" applyBorder="1">
      <alignment vertical="center"/>
    </xf>
    <xf numFmtId="0" fontId="0" fillId="0" borderId="27" xfId="0" applyFill="1" applyBorder="1">
      <alignment vertical="center"/>
    </xf>
    <xf numFmtId="0" fontId="8" fillId="0" borderId="0" xfId="0" applyFont="1" applyFill="1">
      <alignment vertical="center"/>
    </xf>
    <xf numFmtId="0" fontId="0" fillId="0" borderId="19" xfId="0" quotePrefix="1" applyBorder="1">
      <alignment vertical="center"/>
    </xf>
    <xf numFmtId="0" fontId="0" fillId="0" borderId="22" xfId="0" quotePrefix="1" applyBorder="1">
      <alignment vertical="center"/>
    </xf>
    <xf numFmtId="0" fontId="0" fillId="0" borderId="24" xfId="0" quotePrefix="1" applyBorder="1">
      <alignment vertical="center"/>
    </xf>
    <xf numFmtId="0" fontId="7" fillId="0" borderId="0" xfId="0" applyFont="1" applyFill="1">
      <alignment vertical="center"/>
    </xf>
    <xf numFmtId="0" fontId="4" fillId="0" borderId="0" xfId="0" applyFont="1" applyFill="1">
      <alignment vertical="center"/>
    </xf>
    <xf numFmtId="0" fontId="4" fillId="0" borderId="0" xfId="0" applyFont="1" applyFill="1" applyAlignment="1">
      <alignment horizontal="left" vertical="center"/>
    </xf>
    <xf numFmtId="0" fontId="4" fillId="0" borderId="0" xfId="0" applyFont="1" applyFill="1" applyAlignment="1">
      <alignment vertical="center"/>
    </xf>
    <xf numFmtId="180" fontId="0" fillId="0" borderId="0" xfId="0" applyNumberFormat="1" applyFont="1">
      <alignment vertical="center"/>
    </xf>
    <xf numFmtId="0" fontId="9" fillId="0" borderId="0" xfId="0" applyFont="1">
      <alignment vertical="center"/>
    </xf>
    <xf numFmtId="0" fontId="4" fillId="4" borderId="16" xfId="0" applyFont="1" applyFill="1" applyBorder="1">
      <alignment vertical="center"/>
    </xf>
    <xf numFmtId="0" fontId="4" fillId="4" borderId="12" xfId="0" applyFont="1" applyFill="1" applyBorder="1" applyAlignment="1">
      <alignment horizontal="center" vertical="center"/>
    </xf>
    <xf numFmtId="0" fontId="4" fillId="4" borderId="12" xfId="0" applyFont="1" applyFill="1" applyBorder="1">
      <alignment vertical="center"/>
    </xf>
    <xf numFmtId="0" fontId="4" fillId="4" borderId="13" xfId="0" applyFont="1" applyFill="1" applyBorder="1">
      <alignment vertical="center"/>
    </xf>
    <xf numFmtId="0" fontId="4" fillId="4" borderId="0" xfId="0" applyFont="1" applyFill="1">
      <alignment vertical="center"/>
    </xf>
    <xf numFmtId="0" fontId="4" fillId="0" borderId="0" xfId="0" applyFont="1">
      <alignment vertical="center"/>
    </xf>
    <xf numFmtId="0" fontId="4" fillId="4" borderId="17" xfId="0" applyFont="1" applyFill="1" applyBorder="1">
      <alignment vertical="center"/>
    </xf>
    <xf numFmtId="0" fontId="4" fillId="4" borderId="0" xfId="0" applyFont="1" applyFill="1" applyBorder="1" applyAlignment="1">
      <alignment horizontal="center" vertical="center"/>
    </xf>
    <xf numFmtId="0" fontId="4" fillId="4" borderId="0" xfId="0" applyFont="1" applyFill="1" applyBorder="1">
      <alignment vertical="center"/>
    </xf>
    <xf numFmtId="0" fontId="4" fillId="4" borderId="14" xfId="0" applyFont="1" applyFill="1" applyBorder="1">
      <alignment vertical="center"/>
    </xf>
    <xf numFmtId="0" fontId="4" fillId="4" borderId="11" xfId="0" applyFont="1" applyFill="1" applyBorder="1" applyAlignment="1">
      <alignment horizontal="center" vertical="center"/>
    </xf>
    <xf numFmtId="0" fontId="4" fillId="4" borderId="11" xfId="0" applyFont="1" applyFill="1" applyBorder="1">
      <alignment vertical="center"/>
    </xf>
    <xf numFmtId="0" fontId="4" fillId="4" borderId="15" xfId="0" applyFont="1" applyFill="1" applyBorder="1">
      <alignment vertical="center"/>
    </xf>
    <xf numFmtId="0" fontId="4" fillId="4" borderId="18" xfId="0" applyFont="1" applyFill="1" applyBorder="1">
      <alignment vertical="center"/>
    </xf>
    <xf numFmtId="0" fontId="4" fillId="3" borderId="0" xfId="0" applyFont="1" applyFill="1">
      <alignment vertical="center"/>
    </xf>
    <xf numFmtId="0" fontId="4" fillId="3" borderId="0" xfId="0" applyFont="1" applyFill="1" applyAlignment="1">
      <alignment horizontal="center" vertical="center"/>
    </xf>
    <xf numFmtId="0" fontId="4" fillId="0" borderId="0" xfId="0" applyFont="1" applyAlignment="1">
      <alignment horizontal="center" vertical="center"/>
    </xf>
    <xf numFmtId="0" fontId="4" fillId="3" borderId="28" xfId="0" applyFont="1" applyFill="1" applyBorder="1">
      <alignment vertical="center"/>
    </xf>
    <xf numFmtId="0" fontId="4" fillId="3" borderId="28" xfId="0" applyFont="1" applyFill="1" applyBorder="1" applyAlignment="1">
      <alignment horizontal="center" vertical="center"/>
    </xf>
    <xf numFmtId="0" fontId="4" fillId="3" borderId="29" xfId="0" applyFont="1" applyFill="1" applyBorder="1">
      <alignment vertical="center"/>
    </xf>
    <xf numFmtId="0" fontId="4" fillId="3" borderId="30" xfId="0" applyFont="1" applyFill="1" applyBorder="1">
      <alignment vertical="center"/>
    </xf>
    <xf numFmtId="0" fontId="4" fillId="3" borderId="31" xfId="0" applyFont="1" applyFill="1" applyBorder="1">
      <alignment vertical="center"/>
    </xf>
    <xf numFmtId="0" fontId="9" fillId="0" borderId="0" xfId="0" applyFont="1" applyBorder="1">
      <alignment vertical="center"/>
    </xf>
    <xf numFmtId="177" fontId="9" fillId="0" borderId="12" xfId="0" applyNumberFormat="1" applyFont="1" applyFill="1" applyBorder="1">
      <alignment vertical="center"/>
    </xf>
    <xf numFmtId="0" fontId="9" fillId="0" borderId="0" xfId="0" applyFont="1" applyFill="1" applyBorder="1">
      <alignment vertical="center"/>
    </xf>
    <xf numFmtId="0" fontId="9" fillId="0" borderId="27" xfId="0" applyFont="1" applyBorder="1">
      <alignment vertical="center"/>
    </xf>
    <xf numFmtId="0" fontId="9" fillId="0" borderId="27" xfId="0" applyFont="1" applyFill="1" applyBorder="1">
      <alignment vertical="center"/>
    </xf>
    <xf numFmtId="0" fontId="9" fillId="0" borderId="19" xfId="0" applyFont="1" applyBorder="1">
      <alignment vertical="center"/>
    </xf>
    <xf numFmtId="0" fontId="5" fillId="0" borderId="20" xfId="0" applyFont="1" applyBorder="1">
      <alignment vertical="center"/>
    </xf>
    <xf numFmtId="177" fontId="9" fillId="0" borderId="20" xfId="0" applyNumberFormat="1" applyFont="1" applyFill="1" applyBorder="1">
      <alignment vertical="center"/>
    </xf>
    <xf numFmtId="0" fontId="9" fillId="0" borderId="20" xfId="0" applyFont="1" applyBorder="1">
      <alignment vertical="center"/>
    </xf>
    <xf numFmtId="0" fontId="9" fillId="0" borderId="21" xfId="0" applyFont="1" applyBorder="1">
      <alignment vertical="center"/>
    </xf>
    <xf numFmtId="0" fontId="9" fillId="0" borderId="22" xfId="0" applyFont="1" applyBorder="1">
      <alignment vertical="center"/>
    </xf>
    <xf numFmtId="0" fontId="5" fillId="0" borderId="12" xfId="0" applyFont="1" applyBorder="1">
      <alignment vertical="center"/>
    </xf>
    <xf numFmtId="0" fontId="9" fillId="0" borderId="12" xfId="0" applyFont="1" applyBorder="1">
      <alignment vertical="center"/>
    </xf>
    <xf numFmtId="0" fontId="9" fillId="0" borderId="23" xfId="0" applyFont="1" applyBorder="1">
      <alignment vertical="center"/>
    </xf>
    <xf numFmtId="0" fontId="9" fillId="0" borderId="12" xfId="0" applyFont="1" applyFill="1" applyBorder="1" applyAlignment="1">
      <alignment horizontal="right" vertical="center"/>
    </xf>
    <xf numFmtId="0" fontId="9" fillId="0" borderId="32" xfId="0" applyFont="1" applyBorder="1">
      <alignment vertical="center"/>
    </xf>
    <xf numFmtId="0" fontId="5" fillId="0" borderId="33" xfId="0" applyFont="1" applyBorder="1">
      <alignment vertical="center"/>
    </xf>
    <xf numFmtId="177" fontId="9" fillId="0" borderId="33" xfId="0" applyNumberFormat="1" applyFont="1" applyFill="1" applyBorder="1">
      <alignment vertical="center"/>
    </xf>
    <xf numFmtId="0" fontId="9" fillId="0" borderId="33" xfId="0" applyFont="1" applyBorder="1">
      <alignment vertical="center"/>
    </xf>
    <xf numFmtId="0" fontId="9" fillId="0" borderId="34" xfId="0" applyFont="1" applyBorder="1">
      <alignment vertical="center"/>
    </xf>
    <xf numFmtId="0" fontId="0" fillId="0" borderId="25" xfId="0" applyFill="1" applyBorder="1" applyAlignment="1">
      <alignment horizontal="right" vertical="center" indent="5"/>
    </xf>
    <xf numFmtId="0" fontId="0" fillId="0" borderId="35" xfId="0" quotePrefix="1" applyBorder="1">
      <alignment vertical="center"/>
    </xf>
    <xf numFmtId="0" fontId="5" fillId="0" borderId="0" xfId="0" applyFont="1" applyFill="1" applyBorder="1">
      <alignment vertical="center"/>
    </xf>
    <xf numFmtId="0" fontId="0" fillId="0" borderId="0" xfId="0" applyFill="1" applyBorder="1" applyAlignment="1">
      <alignment horizontal="right" vertical="center" indent="5"/>
    </xf>
    <xf numFmtId="0" fontId="0" fillId="0" borderId="0" xfId="0" applyFill="1" applyBorder="1">
      <alignment vertical="center"/>
    </xf>
    <xf numFmtId="0" fontId="0" fillId="0" borderId="36" xfId="0" applyFill="1" applyBorder="1">
      <alignment vertical="center"/>
    </xf>
    <xf numFmtId="0" fontId="0" fillId="0" borderId="37" xfId="0" quotePrefix="1" applyBorder="1">
      <alignment vertical="center"/>
    </xf>
    <xf numFmtId="0" fontId="5" fillId="0" borderId="11" xfId="0" applyFont="1" applyFill="1" applyBorder="1">
      <alignment vertical="center"/>
    </xf>
    <xf numFmtId="0" fontId="0" fillId="0" borderId="11" xfId="0" applyFill="1" applyBorder="1" applyAlignment="1">
      <alignment horizontal="right" vertical="center" indent="5"/>
    </xf>
    <xf numFmtId="0" fontId="0" fillId="0" borderId="11" xfId="0" applyFill="1" applyBorder="1">
      <alignment vertical="center"/>
    </xf>
    <xf numFmtId="0" fontId="0" fillId="0" borderId="38" xfId="0" applyFill="1" applyBorder="1">
      <alignment vertical="center"/>
    </xf>
    <xf numFmtId="179" fontId="4" fillId="0" borderId="0" xfId="0" quotePrefix="1" applyNumberFormat="1" applyFont="1" applyFill="1" applyAlignment="1">
      <alignment horizontal="left" vertical="center"/>
    </xf>
    <xf numFmtId="0" fontId="9" fillId="0" borderId="12" xfId="0" applyNumberFormat="1" applyFont="1" applyFill="1" applyBorder="1" applyAlignment="1">
      <alignment horizontal="right" vertical="center"/>
    </xf>
    <xf numFmtId="0" fontId="4" fillId="0" borderId="0" xfId="0" applyNumberFormat="1" applyFont="1" applyFill="1">
      <alignment vertical="center"/>
    </xf>
    <xf numFmtId="49" fontId="4" fillId="3" borderId="0" xfId="0" applyNumberFormat="1" applyFont="1" applyFill="1" applyAlignment="1">
      <alignment horizontal="left" vertical="center"/>
    </xf>
    <xf numFmtId="49" fontId="4" fillId="3" borderId="28" xfId="0" applyNumberFormat="1" applyFont="1" applyFill="1" applyBorder="1" applyAlignment="1">
      <alignment horizontal="left" vertical="center"/>
    </xf>
    <xf numFmtId="49" fontId="4" fillId="0" borderId="0" xfId="0" quotePrefix="1" applyNumberFormat="1" applyFont="1" applyFill="1">
      <alignment vertical="center"/>
    </xf>
    <xf numFmtId="49" fontId="4" fillId="3" borderId="0" xfId="0" quotePrefix="1" applyNumberFormat="1" applyFont="1" applyFill="1" applyAlignment="1">
      <alignment horizontal="left" vertical="center"/>
    </xf>
    <xf numFmtId="49" fontId="4" fillId="3" borderId="28" xfId="0" quotePrefix="1" applyNumberFormat="1" applyFont="1" applyFill="1" applyBorder="1" applyAlignment="1">
      <alignment horizontal="left" vertical="center"/>
    </xf>
    <xf numFmtId="181" fontId="0" fillId="0" borderId="0" xfId="0" applyNumberFormat="1" applyAlignment="1">
      <alignment horizontal="center" vertical="center"/>
    </xf>
    <xf numFmtId="0" fontId="4" fillId="5" borderId="0" xfId="0" applyFont="1" applyFill="1">
      <alignment vertical="center"/>
    </xf>
    <xf numFmtId="0" fontId="4" fillId="5" borderId="1" xfId="0" applyFont="1" applyFill="1" applyBorder="1" applyAlignment="1">
      <alignment horizontal="center" vertical="center"/>
    </xf>
    <xf numFmtId="0" fontId="4" fillId="5" borderId="0" xfId="0" applyFont="1" applyFill="1" applyBorder="1">
      <alignment vertical="center"/>
    </xf>
    <xf numFmtId="0" fontId="4" fillId="5" borderId="2" xfId="0" applyFont="1" applyFill="1" applyBorder="1">
      <alignment vertical="center"/>
    </xf>
    <xf numFmtId="0" fontId="4" fillId="5" borderId="3" xfId="0" applyFont="1" applyFill="1" applyBorder="1" applyAlignment="1">
      <alignment horizontal="center" vertical="center"/>
    </xf>
    <xf numFmtId="0" fontId="4" fillId="5" borderId="4" xfId="0" applyFont="1" applyFill="1" applyBorder="1">
      <alignment vertical="center"/>
    </xf>
    <xf numFmtId="176" fontId="4" fillId="5" borderId="0" xfId="0" applyNumberFormat="1" applyFont="1" applyFill="1" applyBorder="1">
      <alignment vertical="center"/>
    </xf>
    <xf numFmtId="178" fontId="4" fillId="5" borderId="0" xfId="0" applyNumberFormat="1" applyFont="1" applyFill="1" applyBorder="1">
      <alignment vertical="center"/>
    </xf>
    <xf numFmtId="0" fontId="4" fillId="5" borderId="5" xfId="0" applyFont="1" applyFill="1" applyBorder="1" applyAlignment="1">
      <alignment horizontal="center" vertical="center"/>
    </xf>
    <xf numFmtId="0" fontId="4" fillId="5" borderId="6" xfId="0" applyFont="1" applyFill="1" applyBorder="1">
      <alignment vertical="center"/>
    </xf>
    <xf numFmtId="0" fontId="4" fillId="5" borderId="7" xfId="0" applyFont="1" applyFill="1" applyBorder="1">
      <alignment vertical="center"/>
    </xf>
    <xf numFmtId="0" fontId="4" fillId="5" borderId="39" xfId="0" applyFont="1" applyFill="1" applyBorder="1" applyAlignment="1">
      <alignment horizontal="center" vertical="center"/>
    </xf>
    <xf numFmtId="0" fontId="4" fillId="5" borderId="40" xfId="0" applyFont="1" applyFill="1" applyBorder="1">
      <alignment vertical="center"/>
    </xf>
    <xf numFmtId="0" fontId="4" fillId="5" borderId="41" xfId="0" applyFont="1" applyFill="1" applyBorder="1">
      <alignment vertical="center"/>
    </xf>
    <xf numFmtId="49" fontId="4" fillId="5" borderId="0" xfId="0" applyNumberFormat="1" applyFont="1" applyFill="1" applyBorder="1" applyAlignment="1">
      <alignment vertical="center"/>
    </xf>
    <xf numFmtId="49" fontId="4" fillId="5" borderId="4" xfId="0" applyNumberFormat="1" applyFont="1" applyFill="1" applyBorder="1">
      <alignment vertical="center"/>
    </xf>
    <xf numFmtId="49" fontId="4" fillId="5" borderId="0" xfId="0" applyNumberFormat="1" applyFont="1" applyFill="1" applyBorder="1">
      <alignment vertical="center"/>
    </xf>
    <xf numFmtId="0" fontId="5" fillId="0" borderId="0" xfId="0" applyFont="1" applyBorder="1">
      <alignment vertical="center"/>
    </xf>
    <xf numFmtId="0" fontId="9" fillId="0" borderId="35" xfId="0" applyFont="1" applyBorder="1">
      <alignment vertical="center"/>
    </xf>
    <xf numFmtId="177" fontId="9" fillId="0" borderId="0" xfId="0" applyNumberFormat="1" applyFont="1" applyFill="1" applyBorder="1">
      <alignment vertical="center"/>
    </xf>
    <xf numFmtId="0" fontId="9" fillId="0" borderId="36" xfId="0" applyFont="1" applyBorder="1">
      <alignment vertical="center"/>
    </xf>
    <xf numFmtId="176" fontId="9" fillId="0" borderId="0" xfId="0" applyNumberFormat="1" applyFont="1" applyFill="1" applyBorder="1">
      <alignment vertical="center"/>
    </xf>
    <xf numFmtId="178" fontId="9" fillId="0" borderId="0" xfId="0" applyNumberFormat="1" applyFont="1" applyFill="1" applyBorder="1">
      <alignment vertical="center"/>
    </xf>
    <xf numFmtId="0" fontId="4" fillId="6" borderId="0" xfId="0" applyFont="1" applyFill="1">
      <alignment vertical="center"/>
    </xf>
    <xf numFmtId="0" fontId="4" fillId="6" borderId="0" xfId="0" applyFont="1" applyFill="1" applyAlignment="1">
      <alignment horizontal="center" vertical="center"/>
    </xf>
    <xf numFmtId="0" fontId="4" fillId="6" borderId="28" xfId="0" applyFont="1" applyFill="1" applyBorder="1" applyAlignment="1">
      <alignment horizontal="center" vertical="center"/>
    </xf>
    <xf numFmtId="0" fontId="4" fillId="6" borderId="28" xfId="0" applyFont="1" applyFill="1" applyBorder="1">
      <alignment vertical="center"/>
    </xf>
    <xf numFmtId="0" fontId="4" fillId="7" borderId="0" xfId="0" applyFont="1" applyFill="1">
      <alignment vertical="center"/>
    </xf>
    <xf numFmtId="0" fontId="4" fillId="7" borderId="0" xfId="0" applyFont="1" applyFill="1" applyAlignment="1">
      <alignment horizontal="center" vertical="center"/>
    </xf>
    <xf numFmtId="0" fontId="4" fillId="7" borderId="28" xfId="0" applyFont="1" applyFill="1" applyBorder="1">
      <alignment vertical="center"/>
    </xf>
    <xf numFmtId="0" fontId="4" fillId="7" borderId="28" xfId="0" applyFont="1" applyFill="1" applyBorder="1" applyAlignment="1">
      <alignment horizontal="center" vertical="center"/>
    </xf>
    <xf numFmtId="0" fontId="4" fillId="4" borderId="0" xfId="0" applyFont="1" applyFill="1" applyAlignment="1">
      <alignment horizontal="center" vertical="center"/>
    </xf>
    <xf numFmtId="0" fontId="4" fillId="4" borderId="28" xfId="0" applyFont="1" applyFill="1" applyBorder="1">
      <alignment vertical="center"/>
    </xf>
    <xf numFmtId="0" fontId="4" fillId="4" borderId="28" xfId="0" applyFont="1" applyFill="1" applyBorder="1" applyAlignment="1">
      <alignment horizontal="center" vertical="center"/>
    </xf>
    <xf numFmtId="0" fontId="4" fillId="4" borderId="42" xfId="0" applyFont="1" applyFill="1" applyBorder="1">
      <alignment vertical="center"/>
    </xf>
    <xf numFmtId="49" fontId="4" fillId="4" borderId="0" xfId="0" applyNumberFormat="1" applyFont="1" applyFill="1" applyBorder="1">
      <alignment vertical="center"/>
    </xf>
    <xf numFmtId="49" fontId="4" fillId="4" borderId="0" xfId="0" applyNumberFormat="1" applyFont="1" applyFill="1">
      <alignment vertical="center"/>
    </xf>
    <xf numFmtId="49" fontId="4" fillId="4" borderId="28" xfId="0" applyNumberFormat="1" applyFont="1" applyFill="1" applyBorder="1">
      <alignment vertical="center"/>
    </xf>
  </cellXfs>
  <cellStyles count="1">
    <cellStyle name="標準"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游ゴシック"/>
        <family val="3"/>
        <charset val="128"/>
        <scheme val="minor"/>
      </font>
      <numFmt numFmtId="0" formatCode="General"/>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numFmt numFmtId="179" formatCode="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s>
  <tableStyles count="0" defaultTableStyle="TableStyleMedium2"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House">
        <xsd:complexType>
          <xsd:sequence minOccurs="0">
            <xsd:element minOccurs="0" nillable="true" name="Environment" form="unqualified">
              <xsd:complexType>
                <xsd:attribute name="Region" form="unqualified" type="xsd:integer"/>
              </xsd:complexType>
            </xsd:element>
            <xsd:element minOccurs="0" nillable="true" name="Zones" form="unqualified">
              <xsd:complexType>
                <xsd:sequence minOccurs="0">
                  <xsd:element minOccurs="0" maxOccurs="unbounded" nillable="true" name="Zone" form="unqualified">
                    <xsd:complexType>
                      <xsd:attribute name="Type" form="unqualified" type="xsd:string"/>
                      <xsd:attribute name="Area" form="unqualified" type="xsd:double"/>
                      <xsd:attribute name="NaturalWind" form="unqualified" type="xsd:integer"/>
                    </xsd:complexType>
                  </xsd:element>
                </xsd:sequence>
              </xsd:complexType>
            </xsd:element>
            <xsd:element minOccurs="0" nillable="true" name="Envelope" form="unqualified">
              <xsd:complexType>
                <xsd:attribute name="HeatStorage" form="unqualified" type="xsd:string"/>
                <xsd:attribute name="EvaluationMethod" form="unqualified" type="xsd:string"/>
                <xsd:attribute name="TotalEnvelopeArea" form="unqualified" type="xsd:double"/>
                <xsd:attribute name="UAValue" form="unqualified" type="xsd:double"/>
                <xsd:attribute name="SummerHAValue" form="unqualified" type="xsd:double"/>
                <xsd:attribute name="WinterHAValue" form="unqualified" type="xsd:double"/>
              </xsd:complexType>
            </xsd:element>
            <xsd:element minOccurs="0" nillable="true" name="Heating" form="unqualified">
              <xsd:complexType>
                <xsd:sequence minOccurs="0">
                  <xsd:element minOccurs="0" maxOccurs="unbounded" nillable="true" name="RoomAirConditioningHeating" form="unqualified">
                    <xsd:complexType>
                      <xsd:attribute name="Zone" form="unqualified" type="xsd:string"/>
                    </xsd:complexType>
                  </xsd:element>
                </xsd:sequence>
                <xsd:attribute name="Type" form="unqualified" type="xsd:string"/>
              </xsd:complexType>
            </xsd:element>
            <xsd:element minOccurs="0" nillable="true" name="Cooling" form="unqualified">
              <xsd:complexType>
                <xsd:sequence minOccurs="0">
                  <xsd:element minOccurs="0" maxOccurs="unbounded" nillable="true" name="RoomAirConditioningCooling" form="unqualified">
                    <xsd:complexType>
                      <xsd:attribute name="Zone" form="unqualified" type="xsd:string"/>
                    </xsd:complexType>
                  </xsd:element>
                </xsd:sequence>
                <xsd:attribute name="Type" form="unqualified" type="xsd:string"/>
              </xsd:complexType>
            </xsd:element>
            <xsd:element minOccurs="0" nillable="true" name="Ventilation" form="unqualified">
              <xsd:complexType>
                <xsd:attribute name="Type" form="unqualified" type="xsd:string"/>
                <xsd:attribute name="HeatExchanger" form="unqualified" type="xsd:string"/>
                <xsd:attribute name="Frequency" form="unqualified" type="xsd:string"/>
              </xsd:complexType>
            </xsd:element>
            <xsd:element minOccurs="0" nillable="true" name="Hotwater" form="unqualified">
              <xsd:complexType>
                <xsd:sequence minOccurs="0">
                  <xsd:element minOccurs="0" nillable="true" name="WaterHeater" form="unqualified">
                    <xsd:complexType>
                      <xsd:attribute name="Install" form="unqualified" type="xsd:string"/>
                      <xsd:attribute name="Type" form="unqualified" type="xsd:string"/>
                    </xsd:complexType>
                  </xsd:element>
                  <xsd:element minOccurs="0" nillable="true" name="Bath" form="unqualified">
                    <xsd:complexType>
                      <xsd:attribute name="Function" form="unqualified" type="xsd:string"/>
                      <xsd:attribute name="Insulation" form="unqualified" type="xsd:string"/>
                    </xsd:complexType>
                  </xsd:element>
                  <xsd:element minOccurs="0" nillable="true" name="Pipe" form="unqualified">
                    <xsd:complexType>
                      <xsd:attribute name="Type" form="unqualified" type="xsd:string"/>
                    </xsd:complexType>
                  </xsd:element>
                  <xsd:element minOccurs="0" maxOccurs="unbounded" nillable="true" name="Tap" form="unqualified">
                    <xsd:complexType>
                      <xsd:attribute name="Type" form="unqualified" type="xsd:string"/>
                      <xsd:attribute name="Saving" form="unqualified" type="xsd:string"/>
                    </xsd:complexType>
                  </xsd:element>
                </xsd:sequence>
              </xsd:complexType>
            </xsd:element>
            <xsd:element minOccurs="0" nillable="true" type="xsd:string" name="Lighting" form="unqualified"/>
          </xsd:sequence>
          <xsd:attribute name="ProgramName" form="unqualified" type="xsd:string"/>
          <xsd:attribute name="ProgramVersion" form="unqualified" type="xsd:string"/>
          <xsd:attribute name="Name" form="unqualified" type="xsd:string"/>
          <xsd:attribute name="EvaluationMethod" form="unqualified" type="xsd:string"/>
          <xsd:attribute name="Type" form="unqualified" type="xsd:string"/>
          <xsd:attribute name="TotalArea" form="unqualified" type="xsd:double"/>
          <xsd:attribute name="CreateDate" form="unqualified" type="xsd:string"/>
        </xsd:complexType>
      </xsd:element>
    </xsd:schema>
  </Schema>
  <Map ID="1" Name="House_対応付け" RootElement="House"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277</xdr:row>
      <xdr:rowOff>0</xdr:rowOff>
    </xdr:from>
    <xdr:to>
      <xdr:col>5</xdr:col>
      <xdr:colOff>0</xdr:colOff>
      <xdr:row>318</xdr:row>
      <xdr:rowOff>0</xdr:rowOff>
    </xdr:to>
    <xdr:sp macro="" textlink="">
      <xdr:nvSpPr>
        <xdr:cNvPr id="3" name="正方形/長方形 2">
          <a:extLst>
            <a:ext uri="{FF2B5EF4-FFF2-40B4-BE49-F238E27FC236}">
              <a16:creationId xmlns:a16="http://schemas.microsoft.com/office/drawing/2014/main" id="{EA89456A-0FF1-4589-87AF-635C82063C5D}"/>
            </a:ext>
          </a:extLst>
        </xdr:cNvPr>
        <xdr:cNvSpPr/>
      </xdr:nvSpPr>
      <xdr:spPr>
        <a:xfrm flipV="1">
          <a:off x="0" y="58045350"/>
          <a:ext cx="14192250" cy="77533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31</xdr:row>
      <xdr:rowOff>0</xdr:rowOff>
    </xdr:from>
    <xdr:to>
      <xdr:col>8</xdr:col>
      <xdr:colOff>1</xdr:colOff>
      <xdr:row>64</xdr:row>
      <xdr:rowOff>0</xdr:rowOff>
    </xdr:to>
    <xdr:sp macro="" textlink="">
      <xdr:nvSpPr>
        <xdr:cNvPr id="2" name="正方形/長方形 1">
          <a:extLst>
            <a:ext uri="{FF2B5EF4-FFF2-40B4-BE49-F238E27FC236}">
              <a16:creationId xmlns:a16="http://schemas.microsoft.com/office/drawing/2014/main" id="{430F2C37-5EC9-B1C3-1FFF-8389C6BEC903}"/>
            </a:ext>
          </a:extLst>
        </xdr:cNvPr>
        <xdr:cNvSpPr/>
      </xdr:nvSpPr>
      <xdr:spPr>
        <a:xfrm>
          <a:off x="1" y="6496050"/>
          <a:ext cx="15601950" cy="69151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4A37DA-98F8-4AC7-BEF9-B7023FB8C078}" name="テーブル2" displayName="テーブル2" ref="A1:H220" totalsRowShown="0" headerRowDxfId="12" dataDxfId="11">
  <autoFilter ref="A1:H220" xr:uid="{AF4A37DA-98F8-4AC7-BEF9-B7023FB8C078}"/>
  <tableColumns count="8">
    <tableColumn id="1" xr3:uid="{3D2393F0-3326-4526-86C4-49E4A8F19D66}" name="No." dataDxfId="10">
      <calculatedColumnFormula>ROW()-1</calculatedColumnFormula>
    </tableColumn>
    <tableColumn id="2" xr3:uid="{E6BFDE49-640F-401B-B09B-36406DE8486F}" name="Sheet" dataDxfId="9"/>
    <tableColumn id="3" xr3:uid="{5299D579-C056-478A-85A0-4385AE13D428}" name="TriggerCellName" dataDxfId="8"/>
    <tableColumn id="4" xr3:uid="{14132DD0-E20F-4B14-9919-07971B576DF8}" name="TriggerValue" dataDxfId="7"/>
    <tableColumn id="5" xr3:uid="{B02B6FC1-46E5-48EA-96F8-C571C81B44A8}" name="一旦、非表示にするRow" dataDxfId="6"/>
    <tableColumn id="6" xr3:uid="{FE58AFE0-EA9E-4D38-8B67-CA1781FCBAC8}" name="表示するRow／TargetCellName" dataDxfId="5"/>
    <tableColumn id="7" xr3:uid="{3231FC1D-86CB-46E9-9A10-06375BB651C2}" name="memo " dataDxfId="4">
      <calculatedColumnFormula>LEFT(C2, FIND("_", C2) - 1)</calculatedColumnFormula>
    </tableColumn>
    <tableColumn id="8" xr3:uid="{B1DF2A4F-985B-45D3-8E50-BC4382EB6C44}" name="RowID" dataDxfId="3">
      <calculatedColumnFormula>テーブル2[[#This Row],[Sheet]]&amp;TEXT(ROW()-1,"00")</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86C5C-1ABC-40CF-928D-F158E735D24D}">
  <sheetPr codeName="Sheet01"/>
  <dimension ref="A1:E15"/>
  <sheetViews>
    <sheetView workbookViewId="0">
      <selection activeCell="C13" sqref="C13"/>
    </sheetView>
    <sheetView workbookViewId="1"/>
  </sheetViews>
  <sheetFormatPr defaultRowHeight="21.95" customHeight="1" x14ac:dyDescent="0.4"/>
  <cols>
    <col min="1" max="1" width="7.25" bestFit="1" customWidth="1"/>
    <col min="2" max="2" width="25.75" bestFit="1" customWidth="1"/>
    <col min="3" max="3" width="44" bestFit="1" customWidth="1"/>
    <col min="4" max="4" width="19.25" bestFit="1" customWidth="1"/>
    <col min="7" max="7" width="7.25" bestFit="1" customWidth="1"/>
  </cols>
  <sheetData>
    <row r="1" spans="1:5" ht="21.95" customHeight="1" thickTop="1" thickBot="1" x14ac:dyDescent="0.45">
      <c r="A1" s="10" t="s">
        <v>223</v>
      </c>
      <c r="B1" s="11" t="s">
        <v>154</v>
      </c>
      <c r="C1" s="11" t="s">
        <v>137</v>
      </c>
      <c r="D1" s="11" t="s">
        <v>141</v>
      </c>
      <c r="E1" s="12"/>
    </row>
    <row r="2" spans="1:5" ht="21.95" customHeight="1" x14ac:dyDescent="0.4">
      <c r="A2" s="20" t="s">
        <v>204</v>
      </c>
      <c r="B2" s="3" t="s">
        <v>0</v>
      </c>
      <c r="C2" s="4" t="s">
        <v>3</v>
      </c>
      <c r="D2" s="4"/>
      <c r="E2" s="5"/>
    </row>
    <row r="3" spans="1:5" ht="21.95" customHeight="1" x14ac:dyDescent="0.4">
      <c r="A3" s="21" t="s">
        <v>205</v>
      </c>
      <c r="B3" s="6" t="s">
        <v>1</v>
      </c>
      <c r="C3" s="7" t="s">
        <v>35</v>
      </c>
      <c r="D3" s="7"/>
      <c r="E3" s="8"/>
    </row>
    <row r="4" spans="1:5" ht="21.95" customHeight="1" x14ac:dyDescent="0.4">
      <c r="A4" s="21" t="s">
        <v>206</v>
      </c>
      <c r="B4" s="6" t="s">
        <v>56</v>
      </c>
      <c r="C4" s="9" t="s">
        <v>156</v>
      </c>
      <c r="D4" s="7"/>
      <c r="E4" s="8"/>
    </row>
    <row r="5" spans="1:5" ht="21.95" customHeight="1" x14ac:dyDescent="0.4">
      <c r="A5" s="21" t="s">
        <v>207</v>
      </c>
      <c r="B5" s="6" t="s">
        <v>2</v>
      </c>
      <c r="C5" s="9" t="s">
        <v>4</v>
      </c>
      <c r="D5" s="7"/>
      <c r="E5" s="8"/>
    </row>
    <row r="6" spans="1:5" ht="21.95" customHeight="1" x14ac:dyDescent="0.4">
      <c r="A6" s="21" t="s">
        <v>208</v>
      </c>
      <c r="B6" s="6" t="s">
        <v>31</v>
      </c>
      <c r="C6" s="9" t="s">
        <v>37</v>
      </c>
      <c r="D6" s="7"/>
      <c r="E6" s="8"/>
    </row>
    <row r="7" spans="1:5" ht="21.95" customHeight="1" x14ac:dyDescent="0.4">
      <c r="A7" s="21" t="s">
        <v>209</v>
      </c>
      <c r="B7" s="6" t="s">
        <v>176</v>
      </c>
      <c r="C7" s="9" t="s">
        <v>190</v>
      </c>
      <c r="D7" s="7"/>
      <c r="E7" s="8"/>
    </row>
    <row r="8" spans="1:5" ht="21.95" customHeight="1" x14ac:dyDescent="0.4">
      <c r="A8" s="21" t="s">
        <v>210</v>
      </c>
      <c r="B8" s="6" t="s">
        <v>177</v>
      </c>
      <c r="C8" s="9" t="s">
        <v>192</v>
      </c>
      <c r="D8" s="7"/>
      <c r="E8" s="8"/>
    </row>
    <row r="9" spans="1:5" ht="21.95" customHeight="1" x14ac:dyDescent="0.4">
      <c r="A9" s="22" t="s">
        <v>211</v>
      </c>
      <c r="B9" s="13" t="s">
        <v>138</v>
      </c>
      <c r="C9" s="71">
        <v>29.81</v>
      </c>
      <c r="D9" s="15" t="s">
        <v>57</v>
      </c>
      <c r="E9" s="16"/>
    </row>
    <row r="10" spans="1:5" ht="21.95" hidden="1" customHeight="1" x14ac:dyDescent="0.4">
      <c r="A10" s="72" t="s">
        <v>212</v>
      </c>
      <c r="B10" s="73" t="s">
        <v>139</v>
      </c>
      <c r="C10" s="74">
        <v>51.34</v>
      </c>
      <c r="D10" s="75" t="s">
        <v>57</v>
      </c>
      <c r="E10" s="76"/>
    </row>
    <row r="11" spans="1:5" ht="21.95" customHeight="1" x14ac:dyDescent="0.4">
      <c r="A11" s="77" t="s">
        <v>213</v>
      </c>
      <c r="B11" s="78" t="s">
        <v>140</v>
      </c>
      <c r="C11" s="79">
        <v>120.08</v>
      </c>
      <c r="D11" s="80" t="s">
        <v>57</v>
      </c>
      <c r="E11" s="81"/>
    </row>
    <row r="12" spans="1:5" ht="21.95" customHeight="1" x14ac:dyDescent="0.4">
      <c r="A12" s="21" t="s">
        <v>202</v>
      </c>
      <c r="B12" s="6" t="s">
        <v>32</v>
      </c>
      <c r="C12" s="9" t="s">
        <v>48</v>
      </c>
      <c r="D12" s="7"/>
      <c r="E12" s="8"/>
    </row>
    <row r="13" spans="1:5" ht="21.95" customHeight="1" x14ac:dyDescent="0.4">
      <c r="A13" s="21" t="s">
        <v>186</v>
      </c>
      <c r="B13" s="6" t="s">
        <v>33</v>
      </c>
      <c r="C13" s="9" t="s">
        <v>173</v>
      </c>
      <c r="D13" s="7"/>
      <c r="E13" s="8"/>
    </row>
    <row r="14" spans="1:5" ht="21.95" customHeight="1" thickBot="1" x14ac:dyDescent="0.45">
      <c r="A14" s="22" t="s">
        <v>214</v>
      </c>
      <c r="B14" s="13" t="s">
        <v>34</v>
      </c>
      <c r="C14" s="14" t="s">
        <v>50</v>
      </c>
      <c r="D14" s="15"/>
      <c r="E14" s="16"/>
    </row>
    <row r="15" spans="1:5" ht="21.95" customHeight="1" thickTop="1" x14ac:dyDescent="0.4">
      <c r="A15" s="17"/>
      <c r="B15" s="17"/>
      <c r="C15" s="18"/>
      <c r="D15" s="17"/>
      <c r="E15" s="17"/>
    </row>
  </sheetData>
  <phoneticPr fontId="1"/>
  <dataValidations count="10">
    <dataValidation type="list" allowBlank="1" showInputMessage="1" showErrorMessage="1" sqref="C4" xr:uid="{86594C58-136D-4300-A532-A1022FF065B8}">
      <formula1>基本_住宅の建て方</formula1>
    </dataValidation>
    <dataValidation type="list" allowBlank="1" showInputMessage="1" showErrorMessage="1" sqref="C5" xr:uid="{EB6EB0F4-F4D2-4F12-9311-0AA45B355EF4}">
      <formula1>基本_住戸の評価方法</formula1>
    </dataValidation>
    <dataValidation type="list" allowBlank="1" showInputMessage="1" showErrorMessage="1" sqref="C6" xr:uid="{508615BF-1197-4AF5-B0EE-9FA10C7EFE91}">
      <formula1>基本_居室の構成</formula1>
    </dataValidation>
    <dataValidation type="list" allowBlank="1" showInputMessage="1" showErrorMessage="1" sqref="C12" xr:uid="{C47ADF50-C707-45A1-8121-748249B92B57}">
      <formula1>基本_地域の区分</formula1>
    </dataValidation>
    <dataValidation type="list" allowBlank="1" showInputMessage="1" showErrorMessage="1" sqref="C13" xr:uid="{011F8C2B-CA2B-4399-8533-E1F908B5A6F6}">
      <formula1>基本_年間の日射地域区分の指定</formula1>
    </dataValidation>
    <dataValidation type="list" allowBlank="1" showInputMessage="1" showErrorMessage="1" sqref="C14" xr:uid="{7FE0CAA1-E428-495A-83E4-095772989D4F}">
      <formula1>基本_年間の日射地域区分</formula1>
    </dataValidation>
    <dataValidation type="list" allowBlank="1" showInputMessage="1" showErrorMessage="1" sqref="C2" xr:uid="{D39DF7B1-A195-48E3-A3A8-1FAC9ED65A59}">
      <formula1>基本_住宅タイプの名称</formula1>
    </dataValidation>
    <dataValidation type="list" allowBlank="1" showInputMessage="1" showErrorMessage="1" sqref="C3" xr:uid="{E1E13356-4178-48E8-A846-601614D6BDB6}">
      <formula1>基本_入力責任者</formula1>
    </dataValidation>
    <dataValidation type="list" allowBlank="1" showInputMessage="1" showErrorMessage="1" sqref="C7" xr:uid="{8FBA7794-88BE-4E79-886D-D15070BB03CF}">
      <formula1>基本_その他の居室の有無</formula1>
    </dataValidation>
    <dataValidation type="list" allowBlank="1" showInputMessage="1" showErrorMessage="1" sqref="C8" xr:uid="{E7FA1D2F-C792-4353-BE40-E7E80732C970}">
      <formula1>基本_非居室の有無</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2C2B3-11A0-4F86-B998-EE8B946996B4}">
  <sheetPr codeName="Sheet02"/>
  <dimension ref="A1:E13"/>
  <sheetViews>
    <sheetView workbookViewId="0"/>
    <sheetView workbookViewId="1"/>
  </sheetViews>
  <sheetFormatPr defaultRowHeight="18.75" x14ac:dyDescent="0.4"/>
  <cols>
    <col min="1" max="1" width="7.25" style="51" bestFit="1" customWidth="1"/>
    <col min="2" max="2" width="48" style="51" bestFit="1" customWidth="1"/>
    <col min="3" max="3" width="66.25" style="53" bestFit="1" customWidth="1"/>
    <col min="4" max="4" width="23.625" style="51" bestFit="1" customWidth="1"/>
    <col min="5" max="5" width="34" style="51" bestFit="1" customWidth="1"/>
    <col min="6" max="16384" width="9" style="51"/>
  </cols>
  <sheetData>
    <row r="1" spans="1:5" ht="20.25" thickTop="1" thickBot="1" x14ac:dyDescent="0.45">
      <c r="A1" s="10" t="s">
        <v>223</v>
      </c>
      <c r="B1" s="11" t="s">
        <v>154</v>
      </c>
      <c r="C1" s="11" t="s">
        <v>137</v>
      </c>
      <c r="D1" s="11" t="s">
        <v>141</v>
      </c>
      <c r="E1" s="12"/>
    </row>
    <row r="2" spans="1:5" x14ac:dyDescent="0.4">
      <c r="A2" s="56" t="s">
        <v>238</v>
      </c>
      <c r="B2" s="57" t="s">
        <v>59</v>
      </c>
      <c r="C2" s="58" t="s">
        <v>66</v>
      </c>
      <c r="D2" s="59"/>
      <c r="E2" s="60"/>
    </row>
    <row r="3" spans="1:5" x14ac:dyDescent="0.4">
      <c r="A3" s="61" t="s">
        <v>257</v>
      </c>
      <c r="B3" s="62" t="s">
        <v>69</v>
      </c>
      <c r="C3" s="83" t="s">
        <v>285</v>
      </c>
      <c r="D3" s="63" t="s">
        <v>57</v>
      </c>
      <c r="E3" s="64" t="s">
        <v>90</v>
      </c>
    </row>
    <row r="4" spans="1:5" x14ac:dyDescent="0.4">
      <c r="A4" s="61" t="s">
        <v>258</v>
      </c>
      <c r="B4" s="62" t="s">
        <v>60</v>
      </c>
      <c r="C4" s="83" t="s">
        <v>281</v>
      </c>
      <c r="D4" s="63" t="s">
        <v>70</v>
      </c>
      <c r="E4" s="64" t="s">
        <v>82</v>
      </c>
    </row>
    <row r="5" spans="1:5" x14ac:dyDescent="0.4">
      <c r="A5" s="61" t="s">
        <v>259</v>
      </c>
      <c r="B5" s="62" t="s">
        <v>61</v>
      </c>
      <c r="C5" s="83" t="s">
        <v>287</v>
      </c>
      <c r="D5" s="63" t="s">
        <v>71</v>
      </c>
      <c r="E5" s="64" t="s">
        <v>84</v>
      </c>
    </row>
    <row r="6" spans="1:5" x14ac:dyDescent="0.4">
      <c r="A6" s="61" t="s">
        <v>260</v>
      </c>
      <c r="B6" s="62" t="s">
        <v>62</v>
      </c>
      <c r="C6" s="83" t="s">
        <v>291</v>
      </c>
      <c r="D6" s="63" t="s">
        <v>71</v>
      </c>
      <c r="E6" s="64" t="s">
        <v>83</v>
      </c>
    </row>
    <row r="7" spans="1:5" x14ac:dyDescent="0.4">
      <c r="A7" s="61" t="s">
        <v>261</v>
      </c>
      <c r="B7" s="62" t="s">
        <v>266</v>
      </c>
      <c r="C7" s="52" t="s">
        <v>72</v>
      </c>
      <c r="D7" s="63"/>
      <c r="E7" s="64" t="s">
        <v>89</v>
      </c>
    </row>
    <row r="8" spans="1:5" x14ac:dyDescent="0.4">
      <c r="A8" s="61" t="s">
        <v>262</v>
      </c>
      <c r="B8" s="62" t="s">
        <v>268</v>
      </c>
      <c r="C8" s="52" t="s">
        <v>72</v>
      </c>
      <c r="D8" s="63"/>
      <c r="E8" s="64"/>
    </row>
    <row r="9" spans="1:5" x14ac:dyDescent="0.4">
      <c r="A9" s="61" t="s">
        <v>263</v>
      </c>
      <c r="B9" s="62" t="s">
        <v>63</v>
      </c>
      <c r="C9" s="52" t="s">
        <v>72</v>
      </c>
      <c r="D9" s="63"/>
      <c r="E9" s="64" t="s">
        <v>88</v>
      </c>
    </row>
    <row r="10" spans="1:5" x14ac:dyDescent="0.4">
      <c r="A10" s="61" t="s">
        <v>264</v>
      </c>
      <c r="B10" s="62" t="s">
        <v>64</v>
      </c>
      <c r="C10" s="52" t="s">
        <v>75</v>
      </c>
      <c r="D10" s="63"/>
      <c r="E10" s="64" t="s">
        <v>85</v>
      </c>
    </row>
    <row r="11" spans="1:5" x14ac:dyDescent="0.4">
      <c r="A11" s="61" t="s">
        <v>265</v>
      </c>
      <c r="B11" s="62" t="s">
        <v>77</v>
      </c>
      <c r="C11" s="65">
        <v>10</v>
      </c>
      <c r="D11" s="63" t="s">
        <v>78</v>
      </c>
      <c r="E11" s="64" t="s">
        <v>86</v>
      </c>
    </row>
    <row r="12" spans="1:5" ht="19.5" thickBot="1" x14ac:dyDescent="0.45">
      <c r="A12" s="66" t="s">
        <v>267</v>
      </c>
      <c r="B12" s="67" t="s">
        <v>79</v>
      </c>
      <c r="C12" s="68" t="s">
        <v>81</v>
      </c>
      <c r="D12" s="69"/>
      <c r="E12" s="70" t="s">
        <v>87</v>
      </c>
    </row>
    <row r="13" spans="1:5" ht="19.5" thickTop="1" x14ac:dyDescent="0.4">
      <c r="A13" s="54"/>
      <c r="B13" s="54"/>
      <c r="C13" s="55"/>
      <c r="D13" s="54"/>
      <c r="E13" s="54"/>
    </row>
  </sheetData>
  <phoneticPr fontId="1"/>
  <dataValidations count="11">
    <dataValidation type="list" allowBlank="1" showInputMessage="1" showErrorMessage="1" sqref="C2" xr:uid="{D59A302C-12AD-413D-BDE0-05F0C324A1BD}">
      <formula1>外皮_外皮性能の評価方法</formula1>
    </dataValidation>
    <dataValidation type="list" allowBlank="1" showInputMessage="1" showErrorMessage="1" sqref="C7" xr:uid="{E59240FD-41E9-4FF2-B035-22797B5DEB00}">
      <formula1>外皮_通風の利用_主たる居室</formula1>
    </dataValidation>
    <dataValidation type="list" allowBlank="1" showInputMessage="1" showErrorMessage="1" sqref="C9" xr:uid="{98361152-89D6-481A-8642-5BE0A5888DC5}">
      <formula1>外皮_蓄熱の利用</formula1>
    </dataValidation>
    <dataValidation type="list" allowBlank="1" showInputMessage="1" showErrorMessage="1" sqref="C10" xr:uid="{BDF3688F-B7CC-44B1-914F-00F42A63ECAE}">
      <formula1>外皮_床下空間を経由して外気を導入する換気方式の利用</formula1>
    </dataValidation>
    <dataValidation type="list" allowBlank="1" showInputMessage="1" showErrorMessage="1" sqref="C12" xr:uid="{7C1DA7F2-B1DB-44A7-906F-8EEE466EA8B6}">
      <formula1>外皮_床下空間の断熱</formula1>
    </dataValidation>
    <dataValidation type="list" allowBlank="1" showInputMessage="1" showErrorMessage="1" sqref="C3" xr:uid="{61E46FDA-0D01-4B69-9076-FE107318AF0B}">
      <formula1>外皮_外皮面積の合計</formula1>
    </dataValidation>
    <dataValidation type="list" allowBlank="1" showInputMessage="1" showErrorMessage="1" sqref="C4" xr:uid="{585CB411-C0DB-4D3C-A3FC-E90AE4659740}">
      <formula1>外皮_外皮平均熱貫流率</formula1>
    </dataValidation>
    <dataValidation type="list" allowBlank="1" showInputMessage="1" showErrorMessage="1" sqref="C5" xr:uid="{47ED1F67-4E2B-48A8-97FC-09C09C631DBC}">
      <formula1>外皮_冷房期の平均日射熱取得率</formula1>
    </dataValidation>
    <dataValidation type="list" allowBlank="1" showInputMessage="1" showErrorMessage="1" sqref="C6" xr:uid="{586B170C-AA8F-491B-B5B2-0EC99B3BD2AE}">
      <formula1>外皮_暖房期の平均日射熱取得率</formula1>
    </dataValidation>
    <dataValidation type="list" allowBlank="1" showInputMessage="1" showErrorMessage="1" sqref="C11" xr:uid="{3925ABD4-BBCF-4FBF-A578-85DB38D05946}">
      <formula1>外皮_外気が経由する床下の面積の割合</formula1>
    </dataValidation>
    <dataValidation type="list" allowBlank="1" showInputMessage="1" showErrorMessage="1" sqref="C8" xr:uid="{90F315DF-CA71-4187-9203-1174F36A09CD}">
      <formula1>外皮_通風の利用_その他の居室</formula1>
    </dataValidation>
  </dataValidations>
  <pageMargins left="0.7" right="0.7" top="0.75" bottom="0.75" header="0.3" footer="0.3"/>
  <ignoredErrors>
    <ignoredError sqref="C3:C6"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B940E-59E2-4DBD-83E0-00D021A9601F}">
  <sheetPr codeName="Sheet03"/>
  <dimension ref="A1:E58"/>
  <sheetViews>
    <sheetView workbookViewId="0">
      <selection activeCell="E2" sqref="E2"/>
    </sheetView>
    <sheetView workbookViewId="1"/>
  </sheetViews>
  <sheetFormatPr defaultRowHeight="18.75" x14ac:dyDescent="0.4"/>
  <cols>
    <col min="1" max="1" width="7.25" style="28" bestFit="1" customWidth="1"/>
    <col min="2" max="2" width="45.375" style="28" bestFit="1" customWidth="1"/>
    <col min="3" max="3" width="58.125" style="28" bestFit="1" customWidth="1"/>
    <col min="4" max="4" width="19.375" style="28" bestFit="1" customWidth="1"/>
    <col min="5" max="16384" width="9" style="28"/>
  </cols>
  <sheetData>
    <row r="1" spans="1:5" ht="20.25" thickTop="1" thickBot="1" x14ac:dyDescent="0.45">
      <c r="A1" s="10" t="s">
        <v>223</v>
      </c>
      <c r="B1" s="11" t="s">
        <v>154</v>
      </c>
      <c r="C1" s="11" t="s">
        <v>137</v>
      </c>
      <c r="D1" s="11" t="s">
        <v>141</v>
      </c>
      <c r="E1" s="12"/>
    </row>
    <row r="2" spans="1:5" x14ac:dyDescent="0.4">
      <c r="A2" s="109" t="s">
        <v>294</v>
      </c>
      <c r="B2" s="108" t="s">
        <v>91</v>
      </c>
      <c r="C2" s="110" t="s">
        <v>92</v>
      </c>
      <c r="D2" s="51"/>
      <c r="E2" s="111"/>
    </row>
    <row r="3" spans="1:5" x14ac:dyDescent="0.4">
      <c r="A3" s="109" t="s">
        <v>295</v>
      </c>
      <c r="B3" s="108" t="s">
        <v>390</v>
      </c>
      <c r="C3" s="110" t="s">
        <v>95</v>
      </c>
      <c r="D3" s="51"/>
      <c r="E3" s="111"/>
    </row>
    <row r="4" spans="1:5" x14ac:dyDescent="0.4">
      <c r="A4" s="109" t="s">
        <v>296</v>
      </c>
      <c r="B4" s="108" t="s">
        <v>391</v>
      </c>
      <c r="C4" s="110" t="s">
        <v>97</v>
      </c>
      <c r="D4" s="51"/>
      <c r="E4" s="111"/>
    </row>
    <row r="5" spans="1:5" x14ac:dyDescent="0.4">
      <c r="A5" s="109" t="s">
        <v>297</v>
      </c>
      <c r="B5" s="108" t="s">
        <v>392</v>
      </c>
      <c r="C5" s="110" t="s">
        <v>339</v>
      </c>
      <c r="D5" s="51"/>
      <c r="E5" s="111"/>
    </row>
    <row r="6" spans="1:5" x14ac:dyDescent="0.4">
      <c r="A6" s="109" t="s">
        <v>298</v>
      </c>
      <c r="B6" s="108" t="s">
        <v>393</v>
      </c>
      <c r="C6" s="110" t="s">
        <v>321</v>
      </c>
      <c r="D6" s="51" t="s">
        <v>78</v>
      </c>
      <c r="E6" s="111"/>
    </row>
    <row r="7" spans="1:5" x14ac:dyDescent="0.4">
      <c r="A7" s="109" t="s">
        <v>299</v>
      </c>
      <c r="B7" s="108" t="s">
        <v>394</v>
      </c>
      <c r="C7" s="110" t="s">
        <v>324</v>
      </c>
      <c r="D7" s="51"/>
      <c r="E7" s="111"/>
    </row>
    <row r="8" spans="1:5" x14ac:dyDescent="0.4">
      <c r="A8" s="109" t="s">
        <v>300</v>
      </c>
      <c r="B8" s="108" t="s">
        <v>395</v>
      </c>
      <c r="C8" s="110" t="s">
        <v>97</v>
      </c>
      <c r="D8" s="51"/>
      <c r="E8" s="111"/>
    </row>
    <row r="9" spans="1:5" x14ac:dyDescent="0.4">
      <c r="A9" s="109" t="s">
        <v>301</v>
      </c>
      <c r="B9" s="108" t="s">
        <v>396</v>
      </c>
      <c r="C9" s="112" t="s">
        <v>327</v>
      </c>
      <c r="D9" s="51" t="s">
        <v>131</v>
      </c>
      <c r="E9" s="111"/>
    </row>
    <row r="10" spans="1:5" x14ac:dyDescent="0.4">
      <c r="A10" s="109" t="s">
        <v>302</v>
      </c>
      <c r="B10" s="108" t="s">
        <v>397</v>
      </c>
      <c r="C10" s="112" t="s">
        <v>97</v>
      </c>
      <c r="D10" s="51" t="s">
        <v>132</v>
      </c>
      <c r="E10" s="111"/>
    </row>
    <row r="11" spans="1:5" x14ac:dyDescent="0.4">
      <c r="A11" s="109" t="s">
        <v>303</v>
      </c>
      <c r="B11" s="108" t="s">
        <v>398</v>
      </c>
      <c r="C11" s="113" t="s">
        <v>341</v>
      </c>
      <c r="D11" s="51" t="s">
        <v>133</v>
      </c>
      <c r="E11" s="111"/>
    </row>
    <row r="12" spans="1:5" x14ac:dyDescent="0.4">
      <c r="A12" s="109" t="s">
        <v>304</v>
      </c>
      <c r="B12" s="108" t="s">
        <v>428</v>
      </c>
      <c r="C12" s="113" t="s">
        <v>277</v>
      </c>
      <c r="D12" s="51" t="s">
        <v>134</v>
      </c>
      <c r="E12" s="111"/>
    </row>
    <row r="13" spans="1:5" x14ac:dyDescent="0.4">
      <c r="A13" s="109" t="s">
        <v>305</v>
      </c>
      <c r="B13" s="108" t="s">
        <v>399</v>
      </c>
      <c r="C13" s="110" t="s">
        <v>99</v>
      </c>
      <c r="D13" s="51" t="s">
        <v>135</v>
      </c>
      <c r="E13" s="111"/>
    </row>
    <row r="14" spans="1:5" x14ac:dyDescent="0.4">
      <c r="A14" s="109" t="s">
        <v>306</v>
      </c>
      <c r="B14" s="108" t="s">
        <v>400</v>
      </c>
      <c r="C14" s="110" t="s">
        <v>114</v>
      </c>
      <c r="D14" s="51"/>
      <c r="E14" s="111"/>
    </row>
    <row r="15" spans="1:5" x14ac:dyDescent="0.4">
      <c r="A15" s="109" t="s">
        <v>307</v>
      </c>
      <c r="B15" s="108" t="s">
        <v>401</v>
      </c>
      <c r="C15" s="110">
        <v>12.5</v>
      </c>
      <c r="D15" s="51"/>
      <c r="E15" s="111"/>
    </row>
    <row r="16" spans="1:5" x14ac:dyDescent="0.4">
      <c r="A16" s="109" t="s">
        <v>308</v>
      </c>
      <c r="B16" s="108" t="s">
        <v>402</v>
      </c>
      <c r="C16" s="110">
        <v>63.7</v>
      </c>
      <c r="D16" s="51" t="s">
        <v>78</v>
      </c>
      <c r="E16" s="111"/>
    </row>
    <row r="17" spans="1:5" x14ac:dyDescent="0.4">
      <c r="A17" s="109" t="s">
        <v>309</v>
      </c>
      <c r="B17" s="108" t="s">
        <v>403</v>
      </c>
      <c r="C17" s="110">
        <v>155</v>
      </c>
      <c r="D17" s="51"/>
      <c r="E17" s="111"/>
    </row>
    <row r="18" spans="1:5" x14ac:dyDescent="0.4">
      <c r="A18" s="109" t="s">
        <v>310</v>
      </c>
      <c r="B18" s="108" t="s">
        <v>404</v>
      </c>
      <c r="C18" s="110">
        <v>134</v>
      </c>
      <c r="D18" s="51"/>
      <c r="E18" s="111"/>
    </row>
    <row r="19" spans="1:5" x14ac:dyDescent="0.4">
      <c r="A19" s="109" t="s">
        <v>311</v>
      </c>
      <c r="B19" s="108" t="s">
        <v>405</v>
      </c>
      <c r="C19" s="110" t="s">
        <v>377</v>
      </c>
      <c r="D19" s="51"/>
      <c r="E19" s="111"/>
    </row>
    <row r="20" spans="1:5" x14ac:dyDescent="0.4">
      <c r="A20" s="109" t="s">
        <v>312</v>
      </c>
      <c r="B20" s="108" t="s">
        <v>406</v>
      </c>
      <c r="C20" s="110" t="s">
        <v>95</v>
      </c>
      <c r="D20" s="51"/>
      <c r="E20" s="111"/>
    </row>
    <row r="21" spans="1:5" x14ac:dyDescent="0.4">
      <c r="A21" s="109" t="s">
        <v>313</v>
      </c>
      <c r="B21" s="108" t="s">
        <v>407</v>
      </c>
      <c r="C21" s="110" t="s">
        <v>97</v>
      </c>
      <c r="D21" s="51"/>
      <c r="E21" s="111"/>
    </row>
    <row r="22" spans="1:5" x14ac:dyDescent="0.4">
      <c r="A22" s="109" t="s">
        <v>314</v>
      </c>
      <c r="B22" s="108" t="s">
        <v>408</v>
      </c>
      <c r="C22" s="110" t="s">
        <v>339</v>
      </c>
      <c r="D22" s="51"/>
      <c r="E22" s="111"/>
    </row>
    <row r="23" spans="1:5" x14ac:dyDescent="0.4">
      <c r="A23" s="109" t="s">
        <v>315</v>
      </c>
      <c r="B23" s="108" t="s">
        <v>409</v>
      </c>
      <c r="C23" s="110" t="s">
        <v>321</v>
      </c>
      <c r="D23" s="51"/>
      <c r="E23" s="111"/>
    </row>
    <row r="24" spans="1:5" x14ac:dyDescent="0.4">
      <c r="A24" s="109" t="s">
        <v>316</v>
      </c>
      <c r="B24" s="108" t="s">
        <v>410</v>
      </c>
      <c r="C24" s="110" t="s">
        <v>324</v>
      </c>
      <c r="D24" s="51"/>
      <c r="E24" s="111"/>
    </row>
    <row r="25" spans="1:5" x14ac:dyDescent="0.4">
      <c r="A25" s="109" t="s">
        <v>317</v>
      </c>
      <c r="B25" s="108" t="s">
        <v>411</v>
      </c>
      <c r="C25" s="110" t="s">
        <v>97</v>
      </c>
      <c r="D25" s="51"/>
      <c r="E25" s="111"/>
    </row>
    <row r="26" spans="1:5" x14ac:dyDescent="0.4">
      <c r="A26" s="109" t="s">
        <v>318</v>
      </c>
      <c r="B26" s="108" t="s">
        <v>412</v>
      </c>
      <c r="C26" s="110" t="s">
        <v>327</v>
      </c>
      <c r="D26" s="51"/>
      <c r="E26" s="111"/>
    </row>
    <row r="27" spans="1:5" x14ac:dyDescent="0.4">
      <c r="A27" s="109" t="s">
        <v>432</v>
      </c>
      <c r="B27" s="108" t="s">
        <v>430</v>
      </c>
      <c r="C27" s="110" t="s">
        <v>277</v>
      </c>
      <c r="D27" s="51"/>
      <c r="E27" s="111"/>
    </row>
    <row r="28" spans="1:5" x14ac:dyDescent="0.4">
      <c r="A28" s="109" t="s">
        <v>433</v>
      </c>
      <c r="B28" s="108" t="s">
        <v>413</v>
      </c>
      <c r="C28" s="110" t="s">
        <v>99</v>
      </c>
      <c r="D28" s="51"/>
      <c r="E28" s="111"/>
    </row>
    <row r="29" spans="1:5" x14ac:dyDescent="0.4">
      <c r="A29" s="109" t="s">
        <v>434</v>
      </c>
      <c r="B29" s="108" t="s">
        <v>414</v>
      </c>
      <c r="C29" s="110" t="s">
        <v>114</v>
      </c>
      <c r="D29" s="51"/>
      <c r="E29" s="111"/>
    </row>
    <row r="30" spans="1:5" x14ac:dyDescent="0.4">
      <c r="A30" s="109" t="s">
        <v>435</v>
      </c>
      <c r="B30" s="108" t="s">
        <v>415</v>
      </c>
      <c r="C30" s="110">
        <v>12.5</v>
      </c>
      <c r="D30" s="51"/>
      <c r="E30" s="111"/>
    </row>
    <row r="31" spans="1:5" x14ac:dyDescent="0.4">
      <c r="A31" s="109" t="s">
        <v>436</v>
      </c>
      <c r="B31" s="108" t="s">
        <v>416</v>
      </c>
      <c r="C31" s="110">
        <v>63.7</v>
      </c>
      <c r="D31" s="51"/>
      <c r="E31" s="111"/>
    </row>
    <row r="32" spans="1:5" x14ac:dyDescent="0.4">
      <c r="A32" s="109" t="s">
        <v>437</v>
      </c>
      <c r="B32" s="108" t="s">
        <v>417</v>
      </c>
      <c r="C32" s="110">
        <v>155</v>
      </c>
      <c r="D32" s="51"/>
      <c r="E32" s="111"/>
    </row>
    <row r="33" spans="1:5" x14ac:dyDescent="0.4">
      <c r="A33" s="109" t="s">
        <v>438</v>
      </c>
      <c r="B33" s="108" t="s">
        <v>418</v>
      </c>
      <c r="C33" s="110">
        <v>134</v>
      </c>
      <c r="D33" s="51"/>
      <c r="E33" s="111"/>
    </row>
    <row r="34" spans="1:5" x14ac:dyDescent="0.4">
      <c r="A34" s="109" t="s">
        <v>439</v>
      </c>
      <c r="B34" s="108" t="s">
        <v>419</v>
      </c>
      <c r="C34" s="110" t="s">
        <v>377</v>
      </c>
      <c r="D34" s="51"/>
      <c r="E34" s="111"/>
    </row>
    <row r="35" spans="1:5" x14ac:dyDescent="0.4">
      <c r="A35" s="109" t="s">
        <v>440</v>
      </c>
      <c r="B35" s="108" t="s">
        <v>100</v>
      </c>
      <c r="C35" s="110" t="s">
        <v>101</v>
      </c>
      <c r="D35" s="51"/>
      <c r="E35" s="111"/>
    </row>
    <row r="36" spans="1:5" x14ac:dyDescent="0.4">
      <c r="A36" s="109" t="s">
        <v>441</v>
      </c>
      <c r="B36" s="108" t="s">
        <v>112</v>
      </c>
      <c r="C36" s="110" t="s">
        <v>97</v>
      </c>
      <c r="D36" s="51"/>
      <c r="E36" s="111"/>
    </row>
    <row r="37" spans="1:5" x14ac:dyDescent="0.4">
      <c r="A37" s="109" t="s">
        <v>442</v>
      </c>
      <c r="B37" s="108" t="s">
        <v>326</v>
      </c>
      <c r="C37" s="110" t="s">
        <v>378</v>
      </c>
      <c r="D37" s="51"/>
      <c r="E37" s="111"/>
    </row>
    <row r="38" spans="1:5" x14ac:dyDescent="0.4">
      <c r="A38" s="109" t="s">
        <v>443</v>
      </c>
      <c r="B38" s="108" t="s">
        <v>373</v>
      </c>
      <c r="C38" s="110" t="s">
        <v>97</v>
      </c>
      <c r="D38" s="51"/>
      <c r="E38" s="111"/>
    </row>
    <row r="39" spans="1:5" x14ac:dyDescent="0.4">
      <c r="A39" s="109" t="s">
        <v>444</v>
      </c>
      <c r="B39" s="108" t="s">
        <v>374</v>
      </c>
      <c r="C39" s="110">
        <v>1</v>
      </c>
      <c r="D39" s="51"/>
      <c r="E39" s="111"/>
    </row>
    <row r="40" spans="1:5" x14ac:dyDescent="0.4">
      <c r="A40" s="109" t="s">
        <v>445</v>
      </c>
      <c r="B40" s="108" t="s">
        <v>375</v>
      </c>
      <c r="C40" s="110" t="s">
        <v>376</v>
      </c>
      <c r="D40" s="51"/>
      <c r="E40" s="111"/>
    </row>
    <row r="41" spans="1:5" x14ac:dyDescent="0.4">
      <c r="A41" s="109" t="s">
        <v>446</v>
      </c>
      <c r="B41" s="108" t="s">
        <v>113</v>
      </c>
      <c r="C41" s="110" t="s">
        <v>114</v>
      </c>
      <c r="D41" s="51"/>
      <c r="E41" s="111"/>
    </row>
    <row r="42" spans="1:5" x14ac:dyDescent="0.4">
      <c r="A42" s="109" t="s">
        <v>447</v>
      </c>
      <c r="B42" s="108" t="s">
        <v>116</v>
      </c>
      <c r="C42" s="110" t="s">
        <v>117</v>
      </c>
      <c r="D42" s="51"/>
      <c r="E42" s="111"/>
    </row>
    <row r="43" spans="1:5" hidden="1" x14ac:dyDescent="0.4">
      <c r="A43" s="109" t="s">
        <v>448</v>
      </c>
      <c r="B43" s="108" t="s">
        <v>119</v>
      </c>
      <c r="C43" s="110" t="s">
        <v>120</v>
      </c>
      <c r="D43" s="51"/>
      <c r="E43" s="111"/>
    </row>
    <row r="44" spans="1:5" hidden="1" x14ac:dyDescent="0.4">
      <c r="A44" s="109" t="s">
        <v>449</v>
      </c>
      <c r="B44" s="108" t="s">
        <v>121</v>
      </c>
      <c r="C44" s="110" t="s">
        <v>117</v>
      </c>
      <c r="D44" s="51"/>
      <c r="E44" s="111"/>
    </row>
    <row r="45" spans="1:5" hidden="1" x14ac:dyDescent="0.4">
      <c r="A45" s="109" t="s">
        <v>450</v>
      </c>
      <c r="B45" s="108" t="s">
        <v>122</v>
      </c>
      <c r="C45" s="110" t="s">
        <v>123</v>
      </c>
      <c r="D45" s="51"/>
      <c r="E45" s="111"/>
    </row>
    <row r="46" spans="1:5" hidden="1" x14ac:dyDescent="0.4">
      <c r="A46" s="109" t="s">
        <v>451</v>
      </c>
      <c r="B46" s="108" t="s">
        <v>124</v>
      </c>
      <c r="C46" s="110" t="s">
        <v>125</v>
      </c>
      <c r="D46" s="51"/>
      <c r="E46" s="111"/>
    </row>
    <row r="47" spans="1:5" hidden="1" x14ac:dyDescent="0.4">
      <c r="A47" s="109" t="s">
        <v>452</v>
      </c>
      <c r="B47" s="108" t="s">
        <v>127</v>
      </c>
      <c r="C47" s="110" t="s">
        <v>97</v>
      </c>
      <c r="D47" s="51"/>
      <c r="E47" s="111"/>
    </row>
    <row r="48" spans="1:5" x14ac:dyDescent="0.4">
      <c r="A48" s="109" t="s">
        <v>453</v>
      </c>
      <c r="B48" s="108" t="s">
        <v>420</v>
      </c>
      <c r="C48" s="110">
        <v>99</v>
      </c>
      <c r="D48" s="51" t="s">
        <v>134</v>
      </c>
      <c r="E48" s="111"/>
    </row>
    <row r="49" spans="1:5" x14ac:dyDescent="0.4">
      <c r="A49" s="109" t="s">
        <v>454</v>
      </c>
      <c r="B49" s="108" t="s">
        <v>421</v>
      </c>
      <c r="C49" s="110">
        <v>99</v>
      </c>
      <c r="D49" s="51" t="s">
        <v>134</v>
      </c>
      <c r="E49" s="111"/>
    </row>
    <row r="50" spans="1:5" x14ac:dyDescent="0.4">
      <c r="A50" s="109" t="s">
        <v>455</v>
      </c>
      <c r="B50" s="108" t="s">
        <v>422</v>
      </c>
      <c r="C50" s="110">
        <v>99</v>
      </c>
      <c r="D50" s="51" t="s">
        <v>388</v>
      </c>
      <c r="E50" s="111"/>
    </row>
    <row r="51" spans="1:5" x14ac:dyDescent="0.4">
      <c r="A51" s="109" t="s">
        <v>456</v>
      </c>
      <c r="B51" s="108" t="s">
        <v>423</v>
      </c>
      <c r="C51" s="110">
        <v>99</v>
      </c>
      <c r="D51" s="51" t="s">
        <v>134</v>
      </c>
      <c r="E51" s="111"/>
    </row>
    <row r="52" spans="1:5" x14ac:dyDescent="0.4">
      <c r="A52" s="109" t="s">
        <v>457</v>
      </c>
      <c r="B52" s="108" t="s">
        <v>424</v>
      </c>
      <c r="C52" s="110">
        <v>99</v>
      </c>
      <c r="D52" s="51" t="s">
        <v>134</v>
      </c>
      <c r="E52" s="111"/>
    </row>
    <row r="53" spans="1:5" x14ac:dyDescent="0.4">
      <c r="A53" s="109" t="s">
        <v>458</v>
      </c>
      <c r="B53" s="108" t="s">
        <v>425</v>
      </c>
      <c r="C53" s="110">
        <v>99</v>
      </c>
      <c r="D53" s="51" t="s">
        <v>134</v>
      </c>
      <c r="E53" s="111"/>
    </row>
    <row r="54" spans="1:5" x14ac:dyDescent="0.4">
      <c r="A54" s="109" t="s">
        <v>459</v>
      </c>
      <c r="B54" s="108" t="s">
        <v>426</v>
      </c>
      <c r="C54" s="110">
        <v>99</v>
      </c>
      <c r="D54" s="51" t="s">
        <v>388</v>
      </c>
      <c r="E54" s="111"/>
    </row>
    <row r="55" spans="1:5" x14ac:dyDescent="0.4">
      <c r="A55" s="109" t="s">
        <v>460</v>
      </c>
      <c r="B55" s="108" t="s">
        <v>427</v>
      </c>
      <c r="C55" s="110">
        <v>99</v>
      </c>
      <c r="D55" s="51" t="s">
        <v>134</v>
      </c>
      <c r="E55" s="111"/>
    </row>
    <row r="56" spans="1:5" hidden="1" x14ac:dyDescent="0.4">
      <c r="A56" s="109" t="s">
        <v>461</v>
      </c>
      <c r="B56" s="108" t="s">
        <v>130</v>
      </c>
      <c r="C56" s="110" t="s">
        <v>97</v>
      </c>
      <c r="D56" s="51"/>
      <c r="E56" s="111"/>
    </row>
    <row r="57" spans="1:5" ht="19.5" thickBot="1" x14ac:dyDescent="0.45">
      <c r="A57" s="109" t="s">
        <v>462</v>
      </c>
      <c r="B57" s="108" t="s">
        <v>389</v>
      </c>
      <c r="C57" s="110">
        <v>99</v>
      </c>
      <c r="D57" s="51"/>
      <c r="E57" s="111"/>
    </row>
    <row r="58" spans="1:5" ht="19.5" thickTop="1" x14ac:dyDescent="0.4">
      <c r="A58" s="54"/>
      <c r="B58" s="54"/>
      <c r="C58" s="54"/>
      <c r="D58" s="54"/>
      <c r="E58" s="54"/>
    </row>
  </sheetData>
  <phoneticPr fontId="1"/>
  <dataValidations count="56">
    <dataValidation type="list" allowBlank="1" showInputMessage="1" showErrorMessage="1" sqref="C2" xr:uid="{6DDD0D2E-9EF3-41CE-B4C9-F5AEAB232F0B}">
      <formula1>暖房_暖房方式</formula1>
    </dataValidation>
    <dataValidation type="list" allowBlank="1" showInputMessage="1" showErrorMessage="1" sqref="C3" xr:uid="{0CFE12A6-AF50-4DB3-92F9-0AC37FB95052}">
      <formula1>暖房_暖房設備機器または放熱器の種類_主たる居室</formula1>
    </dataValidation>
    <dataValidation type="list" allowBlank="1" showInputMessage="1" showErrorMessage="1" sqref="C4" xr:uid="{C05A318D-4353-4F2E-88D2-FA3D1D3F2236}">
      <formula1>暖房_エネルギー消費効率の入力_主たる居室</formula1>
    </dataValidation>
    <dataValidation type="list" allowBlank="1" showInputMessage="1" showErrorMessage="1" sqref="C5" xr:uid="{DC98D0EC-35A1-4D56-9ACF-F02C5C8A8BE8}">
      <formula1>暖房_定格能力におけるエネルギー消費効率_主たる居室</formula1>
    </dataValidation>
    <dataValidation type="list" allowBlank="1" showInputMessage="1" showErrorMessage="1" sqref="C6" xr:uid="{49C65DAB-B74D-4F55-9BA0-566AB58CABF5}">
      <formula1>暖房_エネルギー消費効率の区分_主たる居室</formula1>
    </dataValidation>
    <dataValidation type="list" allowBlank="1" showInputMessage="1" showErrorMessage="1" sqref="C7" xr:uid="{56BB08C4-3E02-4377-896C-75AC38C76D7D}">
      <formula1>暖房_小能力時高効率型コンプレッサー_主たる居室</formula1>
    </dataValidation>
    <dataValidation type="list" allowBlank="1" showInputMessage="1" showErrorMessage="1" sqref="C8" xr:uid="{90C21F50-60A3-41CF-8F53-360E91DC7891}">
      <formula1>暖房_敷設率の入力_主たる居室</formula1>
    </dataValidation>
    <dataValidation type="list" allowBlank="1" showInputMessage="1" showErrorMessage="1" sqref="C9" xr:uid="{4C088AFA-75C0-4EBC-BBE5-8F4776028ECA}">
      <formula1>暖房_敷設率_主たる居室</formula1>
    </dataValidation>
    <dataValidation type="list" allowBlank="1" showInputMessage="1" showErrorMessage="1" sqref="C10" xr:uid="{4B1FB9A7-CF24-4298-869F-FAA4B74E0049}">
      <formula1>暖房_仮想床の床面積を除いた敷設率の入力_主たる居室</formula1>
    </dataValidation>
    <dataValidation type="list" allowBlank="1" showInputMessage="1" showErrorMessage="1" sqref="C11" xr:uid="{10DE5C6A-097A-4487-B8C8-0554E7E59DCB}">
      <formula1>暖房_仮想床の床面積を除いた敷設率_主たる居室</formula1>
    </dataValidation>
    <dataValidation type="list" allowBlank="1" showInputMessage="1" showErrorMessage="1" sqref="C12" xr:uid="{B717268F-7E5C-4FA7-92B3-6D4A0E5BCA2C}">
      <formula1>暖房_上面放熱率_床の断熱_主たる居室</formula1>
    </dataValidation>
    <dataValidation type="list" allowBlank="1" showInputMessage="1" showErrorMessage="1" sqref="C13" xr:uid="{2D10D4C0-379A-464B-B619-14522CA2060A}">
      <formula1>暖房_低出力モード_主たる居室</formula1>
    </dataValidation>
    <dataValidation type="list" allowBlank="1" showInputMessage="1" showErrorMessage="1" sqref="C14" xr:uid="{FA041C4A-2B17-42C4-B88A-C570D38D5123}">
      <formula1>暖房_断熱配管_主たる居室</formula1>
    </dataValidation>
    <dataValidation type="list" allowBlank="1" showInputMessage="1" showErrorMessage="1" sqref="C15" xr:uid="{9F796232-635E-46DA-BBE2-BD5358917E50}">
      <formula1>暖房_熱出力_主たる居室</formula1>
    </dataValidation>
    <dataValidation type="list" allowBlank="1" showInputMessage="1" showErrorMessage="1" sqref="C16" xr:uid="{3EC4B131-404F-4F3E-857A-F9D1A9233AAA}">
      <formula1>暖房_熱効率_主たる居室</formula1>
    </dataValidation>
    <dataValidation type="list" allowBlank="1" showInputMessage="1" showErrorMessage="1" sqref="C17" xr:uid="{0BF59EAE-DAD1-4367-8F70-BE794025AEAA}">
      <formula1>暖房_点火時消費電力量_主たる居室</formula1>
    </dataValidation>
    <dataValidation type="list" allowBlank="1" showInputMessage="1" showErrorMessage="1" sqref="C18" xr:uid="{7758452D-A5BB-4B60-ADD7-A28847DDC38C}">
      <formula1>暖房_定常時消費電力_主たる居室</formula1>
    </dataValidation>
    <dataValidation type="list" allowBlank="1" showInputMessage="1" showErrorMessage="1" sqref="C19" xr:uid="{C15CAA0D-57AA-4C6C-BB26-5C1FEA499DEA}">
      <formula1>暖房_その他の暖房設備機器の名称_主たる居室</formula1>
    </dataValidation>
    <dataValidation type="list" allowBlank="1" showInputMessage="1" showErrorMessage="1" sqref="C20" xr:uid="{07A9F376-78F6-4303-AE54-33E344A8A061}">
      <formula1>暖房_暖房設備機器または放熱器の種類_その他の居室</formula1>
    </dataValidation>
    <dataValidation type="list" allowBlank="1" showInputMessage="1" showErrorMessage="1" sqref="C21" xr:uid="{21D3E22B-67F0-4619-AC93-5325C2B6A12F}">
      <formula1>暖房_エネルギー消費効率の入力_その他の居室</formula1>
    </dataValidation>
    <dataValidation type="list" allowBlank="1" showInputMessage="1" showErrorMessage="1" sqref="C22" xr:uid="{12E7E9F8-AC60-4284-961E-F6BC0A6EE506}">
      <formula1>暖房_定格能力におけるエネルギー消費効率_その他の居室</formula1>
    </dataValidation>
    <dataValidation type="list" allowBlank="1" showInputMessage="1" showErrorMessage="1" sqref="C23" xr:uid="{1D92A75E-A6B9-4FEA-BA67-CFC73FCD0614}">
      <formula1>暖房_エネルギー消費効率の区分_その他の居室</formula1>
    </dataValidation>
    <dataValidation type="list" allowBlank="1" showInputMessage="1" showErrorMessage="1" sqref="C24" xr:uid="{7238E37D-D283-4C74-A8D0-5AC2027BD720}">
      <formula1>暖房_小能力時高効率型コンプレッサー_その他の居室</formula1>
    </dataValidation>
    <dataValidation type="list" allowBlank="1" showInputMessage="1" showErrorMessage="1" sqref="C25" xr:uid="{B378384F-E23B-42F2-A525-6D54979AC910}">
      <formula1>暖房_敷設率の入力_その他の居室</formula1>
    </dataValidation>
    <dataValidation type="list" allowBlank="1" showInputMessage="1" showErrorMessage="1" sqref="C26" xr:uid="{FB6D2BAE-4267-4071-98E6-D6F32A9625C0}">
      <formula1>暖房_敷設率_その他の居室</formula1>
    </dataValidation>
    <dataValidation type="list" allowBlank="1" showInputMessage="1" showErrorMessage="1" sqref="C27" xr:uid="{2E7D87E8-1B1D-46E0-9937-069E3B425E14}">
      <formula1>暖房_上面放熱率_床の断熱_その他の居室</formula1>
    </dataValidation>
    <dataValidation type="list" allowBlank="1" showInputMessage="1" showErrorMessage="1" sqref="C28" xr:uid="{2EFA5162-8BB7-4216-9C4A-57BC3BF0E048}">
      <formula1>暖房_低出力モード_その他の居室</formula1>
    </dataValidation>
    <dataValidation type="list" allowBlank="1" showInputMessage="1" showErrorMessage="1" sqref="C29" xr:uid="{131DEC01-AA43-4517-9CE0-127984BC5235}">
      <formula1>暖房_断熱配管_その他の居室</formula1>
    </dataValidation>
    <dataValidation type="list" allowBlank="1" showInputMessage="1" showErrorMessage="1" sqref="C30" xr:uid="{7978D360-CFA0-47F0-8E4F-B4D74B3BDFF1}">
      <formula1>暖房_熱出力_その他の居室</formula1>
    </dataValidation>
    <dataValidation type="list" allowBlank="1" showInputMessage="1" showErrorMessage="1" sqref="C31" xr:uid="{159790D9-ECD6-4C3A-A5DF-EC4BAAB276C5}">
      <formula1>暖房_熱効率_その他の居室</formula1>
    </dataValidation>
    <dataValidation type="list" allowBlank="1" showInputMessage="1" showErrorMessage="1" sqref="C32" xr:uid="{3C0DDC5C-E9BC-4189-AA2E-659C6E406FCB}">
      <formula1>暖房_点火時消費電力量_その他の居室</formula1>
    </dataValidation>
    <dataValidation type="list" allowBlank="1" showInputMessage="1" showErrorMessage="1" sqref="C33" xr:uid="{4895E2C0-73DB-41EF-A304-725AE054D3F2}">
      <formula1>暖房_定常時消費電力_その他の居室</formula1>
    </dataValidation>
    <dataValidation type="list" allowBlank="1" showInputMessage="1" showErrorMessage="1" sqref="C34" xr:uid="{F4FDCE5C-85D2-4A6D-9FEB-8F66AF46DA16}">
      <formula1>暖房_その他の暖房設備機器の名称_その他の居室</formula1>
    </dataValidation>
    <dataValidation type="list" allowBlank="1" showInputMessage="1" showErrorMessage="1" sqref="C35" xr:uid="{CD896E00-AE2E-4635-8D75-4F0AEF021509}">
      <formula1>暖房_温水暖房機の種類</formula1>
    </dataValidation>
    <dataValidation type="list" allowBlank="1" showInputMessage="1" showErrorMessage="1" sqref="C36" xr:uid="{1E58D887-68E4-4913-BE34-2F39F1C0141E}">
      <formula1>暖房_エネルギー消費効率の入力</formula1>
    </dataValidation>
    <dataValidation type="list" allowBlank="1" showInputMessage="1" showErrorMessage="1" sqref="C37" xr:uid="{57CD3D94-7183-43CD-9AEE-50FB1A0A50A6}">
      <formula1>暖房_定格能力におけるエネルギー消費効率</formula1>
    </dataValidation>
    <dataValidation type="list" allowBlank="1" showInputMessage="1" showErrorMessage="1" sqref="C38" xr:uid="{B40C6ABC-309E-4567-9ACD-F9D4A64C721F}">
      <formula1>暖房_熱交換器タイプの入力</formula1>
    </dataValidation>
    <dataValidation type="list" allowBlank="1" showInputMessage="1" showErrorMessage="1" sqref="C39" xr:uid="{4693494C-7A48-4720-BC33-E2007867404C}">
      <formula1>暖房_熱交換器タイプ</formula1>
    </dataValidation>
    <dataValidation type="list" allowBlank="1" showInputMessage="1" showErrorMessage="1" sqref="C40" xr:uid="{445F615A-F728-45B1-849F-473A341C4499}">
      <formula1>暖房_その他の温水暖房機の名称</formula1>
    </dataValidation>
    <dataValidation type="list" allowBlank="1" showInputMessage="1" showErrorMessage="1" sqref="C41" xr:uid="{BA7581D4-ACED-4EB7-BB76-273B4F69B472}">
      <formula1>暖房_断熱配管</formula1>
    </dataValidation>
    <dataValidation type="list" allowBlank="1" showInputMessage="1" showErrorMessage="1" sqref="C42" xr:uid="{092D16D1-16A1-4379-927B-2E309CBE67BD}">
      <formula1>暖房_配管が通過する空間</formula1>
    </dataValidation>
    <dataValidation type="list" allowBlank="1" showInputMessage="1" showErrorMessage="1" sqref="C43" xr:uid="{E6D837D5-BB92-4921-99AE-438D0A48455D}">
      <formula1>暖房_暖房設備機器の種類</formula1>
    </dataValidation>
    <dataValidation type="list" allowBlank="1" showInputMessage="1" showErrorMessage="1" sqref="C44" xr:uid="{67F3DD1D-6654-4EEB-8E52-F976CFA357FB}">
      <formula1>暖房_ダクトが通過する空間</formula1>
    </dataValidation>
    <dataValidation type="list" allowBlank="1" showInputMessage="1" showErrorMessage="1" sqref="C45" xr:uid="{F8F76E54-A930-4980-BF79-A974E77FF582}">
      <formula1>暖房_VAV方式</formula1>
    </dataValidation>
    <dataValidation type="list" allowBlank="1" showInputMessage="1" showErrorMessage="1" sqref="C46" xr:uid="{4467CC87-96C3-4F61-8610-A9A1C1C371D2}">
      <formula1>暖房_全般換気機能</formula1>
    </dataValidation>
    <dataValidation type="list" allowBlank="1" showInputMessage="1" showErrorMessage="1" sqref="C47" xr:uid="{3B074C74-F1EA-432B-BFAE-CF22245D2E52}">
      <formula1>暖房_機器の仕様の入力</formula1>
    </dataValidation>
    <dataValidation type="list" allowBlank="1" showInputMessage="1" showErrorMessage="1" sqref="C48" xr:uid="{ADED5820-43A4-4218-B0EC-40CFA03E09E7}">
      <formula1>暖房_定格暖房能力試験_能力</formula1>
    </dataValidation>
    <dataValidation type="list" allowBlank="1" showInputMessage="1" showErrorMessage="1" sqref="C49" xr:uid="{4EC52A63-48C7-4920-8963-1E3978A6957E}">
      <formula1>暖房_定格暖房能力試験_消費電力</formula1>
    </dataValidation>
    <dataValidation type="list" allowBlank="1" showInputMessage="1" showErrorMessage="1" sqref="C50" xr:uid="{6F714E1A-5F7D-457D-8155-4EBA774828E5}">
      <formula1>暖房_定格暖房能力試験_風量</formula1>
    </dataValidation>
    <dataValidation type="list" allowBlank="1" showInputMessage="1" showErrorMessage="1" sqref="C51" xr:uid="{05348926-5642-4D9E-AC54-3F7E10EBC0CD}">
      <formula1>暖房_定格暖房能力試験_室内側送風機の消費電力</formula1>
    </dataValidation>
    <dataValidation type="list" allowBlank="1" showInputMessage="1" showErrorMessage="1" sqref="C52" xr:uid="{1F5C6546-96C4-494E-A9C7-BB3C08758C5C}">
      <formula1>暖房_中間暖房能力試験_能力</formula1>
    </dataValidation>
    <dataValidation type="list" allowBlank="1" showInputMessage="1" showErrorMessage="1" sqref="C53" xr:uid="{366EF53F-22CE-4B77-BEBB-C4FCCD6F9D43}">
      <formula1>暖房_中間暖房能力試験_消費電力</formula1>
    </dataValidation>
    <dataValidation type="list" allowBlank="1" showInputMessage="1" showErrorMessage="1" sqref="C54" xr:uid="{2503EC66-740C-40D4-8982-B68B3239563E}">
      <formula1>暖房_中間暖房能力試験_風量</formula1>
    </dataValidation>
    <dataValidation type="list" allowBlank="1" showInputMessage="1" showErrorMessage="1" sqref="C55" xr:uid="{E7C0AFBF-1DF9-4F90-976B-89A7C75E152B}">
      <formula1>暖房_中間暖房能力試験_室内側送風機の消費電力</formula1>
    </dataValidation>
    <dataValidation type="list" allowBlank="1" showInputMessage="1" showErrorMessage="1" sqref="C56" xr:uid="{A215B33B-3E3A-4EE1-B266-2883A89FAEBF}">
      <formula1>暖房_設計風量の入力</formula1>
    </dataValidation>
    <dataValidation type="list" allowBlank="1" showInputMessage="1" showErrorMessage="1" sqref="C57" xr:uid="{2B16FB62-1B8D-4C64-B46B-CF2B1C87AFDD}">
      <formula1>暖房_設計風量</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FE7-1615-433D-8EC1-48B1B32DCB45}">
  <sheetPr codeName="Sheet04"/>
  <dimension ref="A1:E16"/>
  <sheetViews>
    <sheetView workbookViewId="0">
      <selection sqref="A1:E16"/>
    </sheetView>
    <sheetView workbookViewId="1"/>
  </sheetViews>
  <sheetFormatPr defaultRowHeight="18.75" x14ac:dyDescent="0.4"/>
  <cols>
    <col min="1" max="1" width="9" style="28"/>
    <col min="2" max="2" width="41.25" style="28" bestFit="1" customWidth="1"/>
    <col min="3" max="3" width="54.625" style="28" bestFit="1" customWidth="1"/>
    <col min="4" max="4" width="21.5" style="28" bestFit="1" customWidth="1"/>
    <col min="5" max="16384" width="9" style="28"/>
  </cols>
  <sheetData>
    <row r="1" spans="1:5" ht="20.25" thickTop="1" thickBot="1" x14ac:dyDescent="0.45">
      <c r="A1" s="10" t="s">
        <v>223</v>
      </c>
      <c r="B1" s="11" t="s">
        <v>154</v>
      </c>
      <c r="C1" s="11" t="s">
        <v>137</v>
      </c>
      <c r="D1" s="11" t="s">
        <v>141</v>
      </c>
      <c r="E1" s="12"/>
    </row>
    <row r="2" spans="1:5" x14ac:dyDescent="0.4">
      <c r="A2" s="109" t="s">
        <v>478</v>
      </c>
      <c r="B2" s="108" t="s">
        <v>492</v>
      </c>
      <c r="C2" s="110" t="s">
        <v>495</v>
      </c>
      <c r="D2" s="51"/>
      <c r="E2" s="111"/>
    </row>
    <row r="3" spans="1:5" x14ac:dyDescent="0.4">
      <c r="A3" s="109" t="s">
        <v>479</v>
      </c>
      <c r="B3" s="108" t="s">
        <v>500</v>
      </c>
      <c r="C3" s="110" t="s">
        <v>95</v>
      </c>
      <c r="D3" s="51"/>
      <c r="E3" s="111"/>
    </row>
    <row r="4" spans="1:5" x14ac:dyDescent="0.4">
      <c r="A4" s="109" t="s">
        <v>480</v>
      </c>
      <c r="B4" s="108" t="s">
        <v>391</v>
      </c>
      <c r="C4" s="110" t="s">
        <v>97</v>
      </c>
      <c r="D4" s="51"/>
      <c r="E4" s="111"/>
    </row>
    <row r="5" spans="1:5" x14ac:dyDescent="0.4">
      <c r="A5" s="109" t="s">
        <v>481</v>
      </c>
      <c r="B5" s="108" t="s">
        <v>510</v>
      </c>
      <c r="C5" s="110" t="s">
        <v>506</v>
      </c>
      <c r="D5" s="51"/>
      <c r="E5" s="111"/>
    </row>
    <row r="6" spans="1:5" x14ac:dyDescent="0.4">
      <c r="A6" s="109" t="s">
        <v>482</v>
      </c>
      <c r="B6" s="108" t="s">
        <v>503</v>
      </c>
      <c r="C6" s="110" t="s">
        <v>95</v>
      </c>
      <c r="D6" s="51"/>
      <c r="E6" s="111"/>
    </row>
    <row r="7" spans="1:5" x14ac:dyDescent="0.4">
      <c r="A7" s="109" t="s">
        <v>483</v>
      </c>
      <c r="B7" s="108" t="s">
        <v>407</v>
      </c>
      <c r="C7" s="110" t="s">
        <v>97</v>
      </c>
      <c r="D7" s="51"/>
      <c r="E7" s="111"/>
    </row>
    <row r="8" spans="1:5" x14ac:dyDescent="0.4">
      <c r="A8" s="109" t="s">
        <v>484</v>
      </c>
      <c r="B8" s="108" t="s">
        <v>508</v>
      </c>
      <c r="C8" s="110" t="s">
        <v>506</v>
      </c>
      <c r="D8" s="51"/>
      <c r="E8" s="111"/>
    </row>
    <row r="9" spans="1:5" x14ac:dyDescent="0.4">
      <c r="A9" s="109" t="s">
        <v>485</v>
      </c>
      <c r="B9" s="108" t="s">
        <v>497</v>
      </c>
      <c r="C9" s="110" t="s">
        <v>120</v>
      </c>
      <c r="D9" s="51"/>
      <c r="E9" s="111"/>
    </row>
    <row r="10" spans="1:5" x14ac:dyDescent="0.4">
      <c r="A10" s="109" t="s">
        <v>486</v>
      </c>
      <c r="B10" s="108" t="s">
        <v>121</v>
      </c>
      <c r="C10" s="110" t="s">
        <v>117</v>
      </c>
      <c r="D10" s="51"/>
      <c r="E10" s="111"/>
    </row>
    <row r="11" spans="1:5" x14ac:dyDescent="0.4">
      <c r="A11" s="109" t="s">
        <v>487</v>
      </c>
      <c r="B11" s="108" t="s">
        <v>122</v>
      </c>
      <c r="C11" s="110" t="s">
        <v>123</v>
      </c>
      <c r="D11" s="51"/>
      <c r="E11" s="111"/>
    </row>
    <row r="12" spans="1:5" x14ac:dyDescent="0.4">
      <c r="A12" s="109" t="s">
        <v>488</v>
      </c>
      <c r="B12" s="108" t="s">
        <v>124</v>
      </c>
      <c r="C12" s="110" t="s">
        <v>125</v>
      </c>
      <c r="D12" s="51"/>
      <c r="E12" s="111"/>
    </row>
    <row r="13" spans="1:5" x14ac:dyDescent="0.4">
      <c r="A13" s="109" t="s">
        <v>489</v>
      </c>
      <c r="B13" s="108" t="s">
        <v>127</v>
      </c>
      <c r="C13" s="110" t="s">
        <v>97</v>
      </c>
      <c r="D13" s="51"/>
      <c r="E13" s="111"/>
    </row>
    <row r="14" spans="1:5" x14ac:dyDescent="0.4">
      <c r="A14" s="109" t="s">
        <v>490</v>
      </c>
      <c r="B14" s="108" t="s">
        <v>130</v>
      </c>
      <c r="C14" s="110" t="s">
        <v>97</v>
      </c>
      <c r="D14" s="51"/>
      <c r="E14" s="111"/>
    </row>
    <row r="15" spans="1:5" ht="19.5" thickBot="1" x14ac:dyDescent="0.45">
      <c r="A15" s="109" t="s">
        <v>491</v>
      </c>
      <c r="B15" s="108" t="s">
        <v>389</v>
      </c>
      <c r="C15" s="110">
        <v>99</v>
      </c>
      <c r="D15" s="51" t="s">
        <v>388</v>
      </c>
      <c r="E15" s="111"/>
    </row>
    <row r="16" spans="1:5" ht="19.5" thickTop="1" x14ac:dyDescent="0.4">
      <c r="A16" s="54"/>
      <c r="B16" s="54"/>
      <c r="C16" s="54"/>
      <c r="D16" s="54"/>
      <c r="E16" s="54"/>
    </row>
  </sheetData>
  <phoneticPr fontId="1"/>
  <dataValidations count="14">
    <dataValidation type="list" allowBlank="1" showInputMessage="1" showErrorMessage="1" sqref="C2" xr:uid="{4D543DFB-8F74-4AF0-ABB0-46D6BE0900E0}">
      <formula1>冷房01</formula1>
    </dataValidation>
    <dataValidation type="list" allowBlank="1" showInputMessage="1" showErrorMessage="1" sqref="C3" xr:uid="{6460BD02-CC28-4ED5-B977-9016354BE880}">
      <formula1>冷房02</formula1>
    </dataValidation>
    <dataValidation type="list" allowBlank="1" showInputMessage="1" showErrorMessage="1" sqref="C4" xr:uid="{967830D2-1171-4BBF-9B16-5DDEDF1593BC}">
      <formula1>冷房03</formula1>
    </dataValidation>
    <dataValidation type="list" allowBlank="1" showInputMessage="1" showErrorMessage="1" sqref="C5" xr:uid="{760C0999-A0B7-4C25-AFAB-D61AB424629E}">
      <formula1>冷房04</formula1>
    </dataValidation>
    <dataValidation type="list" allowBlank="1" showInputMessage="1" showErrorMessage="1" sqref="C6" xr:uid="{4A51C55D-BE3F-42DB-B09F-58AE6E4F81BF}">
      <formula1>冷房05</formula1>
    </dataValidation>
    <dataValidation type="list" allowBlank="1" showInputMessage="1" showErrorMessage="1" sqref="C7" xr:uid="{76B79AFE-991D-4390-B8D3-421A71295061}">
      <formula1>冷房06</formula1>
    </dataValidation>
    <dataValidation type="list" allowBlank="1" showInputMessage="1" showErrorMessage="1" sqref="C8" xr:uid="{54076CBA-B5EC-4DA7-94FE-A9C6ADB541D7}">
      <formula1>冷房07</formula1>
    </dataValidation>
    <dataValidation type="list" allowBlank="1" showInputMessage="1" showErrorMessage="1" sqref="C9" xr:uid="{8A3D01F2-762B-45D9-888B-7005F52EFF1E}">
      <formula1>冷房08</formula1>
    </dataValidation>
    <dataValidation type="list" allowBlank="1" showInputMessage="1" showErrorMessage="1" sqref="C10" xr:uid="{77AFCA81-1841-4234-99FD-1BA2686019A0}">
      <formula1>冷房09</formula1>
    </dataValidation>
    <dataValidation type="list" allowBlank="1" showInputMessage="1" showErrorMessage="1" sqref="C11" xr:uid="{5CBF97B8-28F1-4E3F-8A95-F99814AC213A}">
      <formula1>冷房10</formula1>
    </dataValidation>
    <dataValidation type="list" allowBlank="1" showInputMessage="1" showErrorMessage="1" sqref="C12" xr:uid="{8EFBEC54-D7A2-404C-A42C-94CB41937B10}">
      <formula1>冷房11</formula1>
    </dataValidation>
    <dataValidation type="list" allowBlank="1" showInputMessage="1" showErrorMessage="1" sqref="C13" xr:uid="{47C59E4A-8FFD-4C17-B3B7-1F543D33B9EB}">
      <formula1>冷房12</formula1>
    </dataValidation>
    <dataValidation type="list" allowBlank="1" showInputMessage="1" showErrorMessage="1" sqref="C14" xr:uid="{44E7AD4C-C47F-41A2-A887-99FF118612DA}">
      <formula1>冷房13</formula1>
    </dataValidation>
    <dataValidation type="list" allowBlank="1" showInputMessage="1" showErrorMessage="1" sqref="C15" xr:uid="{7D3A0F0C-622D-4035-A20A-AE6A02354C10}">
      <formula1>冷房14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B41AB-7251-42CF-8ABE-562A02381964}">
  <sheetPr codeName="Sheet05"/>
  <dimension ref="A1:E9"/>
  <sheetViews>
    <sheetView workbookViewId="0">
      <selection sqref="A1:E9"/>
    </sheetView>
    <sheetView workbookViewId="1"/>
  </sheetViews>
  <sheetFormatPr defaultRowHeight="18.75" x14ac:dyDescent="0.4"/>
  <cols>
    <col min="1" max="1" width="7.25" bestFit="1" customWidth="1"/>
    <col min="2" max="2" width="41.5" bestFit="1" customWidth="1"/>
    <col min="3" max="3" width="120.875" bestFit="1" customWidth="1"/>
    <col min="4" max="4" width="21.5" bestFit="1" customWidth="1"/>
  </cols>
  <sheetData>
    <row r="1" spans="1:5" ht="20.25" thickTop="1" thickBot="1" x14ac:dyDescent="0.45">
      <c r="A1" s="10" t="s">
        <v>223</v>
      </c>
      <c r="B1" s="11" t="s">
        <v>154</v>
      </c>
      <c r="C1" s="11" t="s">
        <v>137</v>
      </c>
      <c r="D1" s="11" t="s">
        <v>141</v>
      </c>
      <c r="E1" s="12"/>
    </row>
    <row r="2" spans="1:5" x14ac:dyDescent="0.4">
      <c r="A2" s="109" t="s">
        <v>513</v>
      </c>
      <c r="B2" s="108" t="s">
        <v>521</v>
      </c>
      <c r="C2" s="110" t="s">
        <v>522</v>
      </c>
      <c r="D2" s="51"/>
      <c r="E2" s="111"/>
    </row>
    <row r="3" spans="1:5" x14ac:dyDescent="0.4">
      <c r="A3" s="109" t="s">
        <v>514</v>
      </c>
      <c r="B3" s="108" t="s">
        <v>526</v>
      </c>
      <c r="C3" s="110" t="s">
        <v>527</v>
      </c>
      <c r="D3" s="51"/>
      <c r="E3" s="111"/>
    </row>
    <row r="4" spans="1:5" x14ac:dyDescent="0.4">
      <c r="A4" s="109" t="s">
        <v>515</v>
      </c>
      <c r="B4" s="108" t="s">
        <v>536</v>
      </c>
      <c r="C4" s="110" t="s">
        <v>537</v>
      </c>
      <c r="D4" s="51"/>
      <c r="E4" s="111"/>
    </row>
    <row r="5" spans="1:5" x14ac:dyDescent="0.4">
      <c r="A5" s="109" t="s">
        <v>516</v>
      </c>
      <c r="B5" s="108" t="s">
        <v>539</v>
      </c>
      <c r="C5" s="110">
        <v>99</v>
      </c>
      <c r="D5" s="51"/>
      <c r="E5" s="111"/>
    </row>
    <row r="6" spans="1:5" x14ac:dyDescent="0.4">
      <c r="A6" s="109" t="s">
        <v>517</v>
      </c>
      <c r="B6" s="108" t="s">
        <v>529</v>
      </c>
      <c r="C6" s="110" t="s">
        <v>530</v>
      </c>
      <c r="D6" s="51"/>
      <c r="E6" s="111"/>
    </row>
    <row r="7" spans="1:5" x14ac:dyDescent="0.4">
      <c r="A7" s="109" t="s">
        <v>518</v>
      </c>
      <c r="B7" s="108" t="s">
        <v>533</v>
      </c>
      <c r="C7" s="110" t="s">
        <v>534</v>
      </c>
      <c r="D7" s="51"/>
      <c r="E7" s="111"/>
    </row>
    <row r="8" spans="1:5" ht="19.5" thickBot="1" x14ac:dyDescent="0.45">
      <c r="A8" s="109" t="s">
        <v>519</v>
      </c>
      <c r="B8" s="108" t="s">
        <v>541</v>
      </c>
      <c r="C8" s="110">
        <v>99</v>
      </c>
      <c r="D8" s="51"/>
      <c r="E8" s="111"/>
    </row>
    <row r="9" spans="1:5" ht="19.5" thickTop="1" x14ac:dyDescent="0.4">
      <c r="A9" s="54"/>
      <c r="B9" s="54"/>
      <c r="C9" s="54"/>
      <c r="D9" s="54"/>
      <c r="E9" s="54"/>
    </row>
  </sheetData>
  <phoneticPr fontId="1"/>
  <dataValidations count="7">
    <dataValidation type="list" allowBlank="1" showInputMessage="1" showErrorMessage="1" sqref="C2" xr:uid="{E938D8DC-D373-47B4-A351-875C9B0DC86D}">
      <formula1>換気01</formula1>
    </dataValidation>
    <dataValidation type="list" allowBlank="1" showInputMessage="1" showErrorMessage="1" sqref="C3" xr:uid="{A134541F-C45D-460B-9AF6-3F03B0B6368E}">
      <formula1>換気02</formula1>
    </dataValidation>
    <dataValidation type="list" allowBlank="1" showInputMessage="1" showErrorMessage="1" sqref="C4" xr:uid="{6CB93F87-59F5-47B9-98CE-6BB375C3730C}">
      <formula1>換気03</formula1>
    </dataValidation>
    <dataValidation type="list" allowBlank="1" showInputMessage="1" showErrorMessage="1" sqref="C5" xr:uid="{732AFDD2-0495-4705-A2AB-0FE4C506ECDF}">
      <formula1>換気04</formula1>
    </dataValidation>
    <dataValidation type="list" allowBlank="1" showInputMessage="1" showErrorMessage="1" sqref="C6" xr:uid="{51A172D3-EFAC-4707-9921-CE0ABF783C07}">
      <formula1>換気05</formula1>
    </dataValidation>
    <dataValidation type="list" allowBlank="1" showInputMessage="1" showErrorMessage="1" sqref="C7" xr:uid="{4E29CA12-5D8C-4CE4-A69E-FFB08AC2F3D5}">
      <formula1>換気06</formula1>
    </dataValidation>
    <dataValidation type="list" allowBlank="1" showInputMessage="1" showErrorMessage="1" sqref="C8" xr:uid="{0E09BCF4-12B3-4FD4-A3CE-358350112E76}">
      <formula1>換気07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6131D-8C52-498D-B5F9-114BBA8C4EF9}">
  <sheetPr codeName="Sheet06"/>
  <dimension ref="A1:E7"/>
  <sheetViews>
    <sheetView workbookViewId="0">
      <selection sqref="A1:E7"/>
    </sheetView>
    <sheetView workbookViewId="1"/>
  </sheetViews>
  <sheetFormatPr defaultRowHeight="18.75" x14ac:dyDescent="0.4"/>
  <cols>
    <col min="1" max="1" width="9.125" bestFit="1" customWidth="1"/>
    <col min="2" max="2" width="67.375" bestFit="1" customWidth="1"/>
    <col min="3" max="3" width="120.875" bestFit="1" customWidth="1"/>
    <col min="4" max="4" width="9.25" bestFit="1" customWidth="1"/>
  </cols>
  <sheetData>
    <row r="1" spans="1:5" ht="20.25" thickTop="1" thickBot="1" x14ac:dyDescent="0.45">
      <c r="A1" s="10" t="s">
        <v>223</v>
      </c>
      <c r="B1" s="11" t="s">
        <v>154</v>
      </c>
      <c r="C1" s="11" t="s">
        <v>137</v>
      </c>
      <c r="D1" s="11" t="s">
        <v>141</v>
      </c>
      <c r="E1" s="12"/>
    </row>
    <row r="2" spans="1:5" x14ac:dyDescent="0.4">
      <c r="A2" s="109" t="s">
        <v>543</v>
      </c>
      <c r="B2" s="108" t="s">
        <v>549</v>
      </c>
      <c r="C2" s="110" t="s">
        <v>550</v>
      </c>
      <c r="D2" s="51"/>
      <c r="E2" s="111"/>
    </row>
    <row r="3" spans="1:5" x14ac:dyDescent="0.4">
      <c r="A3" s="109" t="s">
        <v>544</v>
      </c>
      <c r="B3" s="108" t="s">
        <v>552</v>
      </c>
      <c r="C3" s="110">
        <v>99</v>
      </c>
      <c r="D3" s="51"/>
      <c r="E3" s="111"/>
    </row>
    <row r="4" spans="1:5" x14ac:dyDescent="0.4">
      <c r="A4" s="109" t="s">
        <v>545</v>
      </c>
      <c r="B4" s="108" t="s">
        <v>553</v>
      </c>
      <c r="C4" s="110" t="s">
        <v>97</v>
      </c>
      <c r="D4" s="51"/>
      <c r="E4" s="111"/>
    </row>
    <row r="5" spans="1:5" x14ac:dyDescent="0.4">
      <c r="A5" s="109" t="s">
        <v>546</v>
      </c>
      <c r="B5" s="108" t="s">
        <v>554</v>
      </c>
      <c r="C5" s="110">
        <v>99</v>
      </c>
      <c r="D5" s="51"/>
      <c r="E5" s="111"/>
    </row>
    <row r="6" spans="1:5" ht="19.5" thickBot="1" x14ac:dyDescent="0.45">
      <c r="A6" s="109" t="s">
        <v>547</v>
      </c>
      <c r="B6" s="108" t="s">
        <v>555</v>
      </c>
      <c r="C6" s="110">
        <v>99</v>
      </c>
      <c r="D6" s="51"/>
      <c r="E6" s="111"/>
    </row>
    <row r="7" spans="1:5" ht="19.5" thickTop="1" x14ac:dyDescent="0.4">
      <c r="A7" s="54"/>
      <c r="B7" s="54"/>
      <c r="C7" s="54"/>
      <c r="D7" s="54"/>
      <c r="E7" s="54"/>
    </row>
  </sheetData>
  <phoneticPr fontId="1"/>
  <dataValidations count="5">
    <dataValidation type="list" allowBlank="1" showInputMessage="1" showErrorMessage="1" sqref="C2" xr:uid="{DEE65BE3-B45C-427F-AB87-640D8B6B2CFB}">
      <formula1>熱交換01</formula1>
    </dataValidation>
    <dataValidation type="list" allowBlank="1" showInputMessage="1" showErrorMessage="1" sqref="C3" xr:uid="{3B689933-7691-4998-A97F-B87C04C8D4DA}">
      <formula1>熱交換02</formula1>
    </dataValidation>
    <dataValidation type="list" allowBlank="1" showInputMessage="1" showErrorMessage="1" sqref="C4" xr:uid="{370CA343-7498-4F5A-A558-8B2560088242}">
      <formula1>熱交換03</formula1>
    </dataValidation>
    <dataValidation type="list" allowBlank="1" showInputMessage="1" showErrorMessage="1" sqref="C5" xr:uid="{963F8811-71C2-4E2B-84A9-780C2DC9077E}">
      <formula1>熱交換04</formula1>
    </dataValidation>
    <dataValidation type="list" allowBlank="1" showInputMessage="1" showErrorMessage="1" sqref="C6" xr:uid="{B36ECF2C-DEB3-4B03-8CB7-EA947D1F70CC}">
      <formula1>熱交換05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79A1F-7BA4-4F55-9785-7FB3AE963ABC}">
  <sheetPr codeName="Sheet07"/>
  <dimension ref="A1:E52"/>
  <sheetViews>
    <sheetView workbookViewId="0">
      <selection activeCell="A2" sqref="A2"/>
    </sheetView>
    <sheetView workbookViewId="1"/>
  </sheetViews>
  <sheetFormatPr defaultRowHeight="18.75" x14ac:dyDescent="0.4"/>
  <cols>
    <col min="1" max="1" width="9.125" bestFit="1" customWidth="1"/>
    <col min="2" max="2" width="67.375" bestFit="1" customWidth="1"/>
    <col min="3" max="3" width="33.125" bestFit="1" customWidth="1"/>
    <col min="4" max="4" width="9.25" bestFit="1" customWidth="1"/>
  </cols>
  <sheetData>
    <row r="1" spans="1:5" ht="20.25" thickTop="1" thickBot="1" x14ac:dyDescent="0.45">
      <c r="A1" s="10" t="s">
        <v>223</v>
      </c>
      <c r="B1" s="11" t="s">
        <v>154</v>
      </c>
      <c r="C1" s="11" t="s">
        <v>137</v>
      </c>
      <c r="D1" s="11" t="s">
        <v>141</v>
      </c>
      <c r="E1" s="12"/>
    </row>
    <row r="2" spans="1:5" x14ac:dyDescent="0.4">
      <c r="A2" s="109" t="s">
        <v>556</v>
      </c>
      <c r="B2" s="108"/>
      <c r="C2" s="110"/>
      <c r="D2" s="51"/>
      <c r="E2" s="111"/>
    </row>
    <row r="3" spans="1:5" x14ac:dyDescent="0.4">
      <c r="A3" s="109" t="s">
        <v>557</v>
      </c>
      <c r="B3" s="108"/>
      <c r="C3" s="110"/>
      <c r="D3" s="51"/>
      <c r="E3" s="111"/>
    </row>
    <row r="4" spans="1:5" x14ac:dyDescent="0.4">
      <c r="A4" s="109" t="s">
        <v>558</v>
      </c>
      <c r="B4" s="108"/>
      <c r="C4" s="110"/>
      <c r="D4" s="51"/>
      <c r="E4" s="111"/>
    </row>
    <row r="5" spans="1:5" x14ac:dyDescent="0.4">
      <c r="A5" s="109" t="s">
        <v>559</v>
      </c>
      <c r="B5" s="108"/>
      <c r="C5" s="110"/>
      <c r="D5" s="51"/>
      <c r="E5" s="111"/>
    </row>
    <row r="6" spans="1:5" x14ac:dyDescent="0.4">
      <c r="A6" s="109" t="s">
        <v>560</v>
      </c>
      <c r="B6" s="108"/>
      <c r="C6" s="110"/>
      <c r="D6" s="51"/>
      <c r="E6" s="111"/>
    </row>
    <row r="7" spans="1:5" x14ac:dyDescent="0.4">
      <c r="A7" s="109" t="s">
        <v>561</v>
      </c>
      <c r="B7" s="108"/>
      <c r="C7" s="110"/>
      <c r="D7" s="51"/>
      <c r="E7" s="111"/>
    </row>
    <row r="8" spans="1:5" x14ac:dyDescent="0.4">
      <c r="A8" s="109" t="s">
        <v>562</v>
      </c>
      <c r="B8" s="108"/>
      <c r="C8" s="110"/>
      <c r="D8" s="51"/>
      <c r="E8" s="111"/>
    </row>
    <row r="9" spans="1:5" x14ac:dyDescent="0.4">
      <c r="A9" s="109" t="s">
        <v>563</v>
      </c>
      <c r="B9" s="108"/>
      <c r="C9" s="110"/>
      <c r="D9" s="51"/>
      <c r="E9" s="111"/>
    </row>
    <row r="10" spans="1:5" x14ac:dyDescent="0.4">
      <c r="A10" s="109" t="s">
        <v>564</v>
      </c>
      <c r="B10" s="108"/>
      <c r="C10" s="110"/>
      <c r="D10" s="51"/>
      <c r="E10" s="111"/>
    </row>
    <row r="11" spans="1:5" x14ac:dyDescent="0.4">
      <c r="A11" s="109" t="s">
        <v>565</v>
      </c>
      <c r="B11" s="108"/>
      <c r="C11" s="110"/>
      <c r="D11" s="51"/>
      <c r="E11" s="111"/>
    </row>
    <row r="12" spans="1:5" x14ac:dyDescent="0.4">
      <c r="A12" s="109" t="s">
        <v>566</v>
      </c>
      <c r="B12" s="108"/>
      <c r="C12" s="110"/>
      <c r="D12" s="51"/>
      <c r="E12" s="111"/>
    </row>
    <row r="13" spans="1:5" x14ac:dyDescent="0.4">
      <c r="A13" s="109" t="s">
        <v>567</v>
      </c>
      <c r="B13" s="108"/>
      <c r="C13" s="110"/>
      <c r="D13" s="51"/>
      <c r="E13" s="111"/>
    </row>
    <row r="14" spans="1:5" x14ac:dyDescent="0.4">
      <c r="A14" s="109" t="s">
        <v>568</v>
      </c>
      <c r="B14" s="108"/>
      <c r="C14" s="110"/>
      <c r="D14" s="51"/>
      <c r="E14" s="111"/>
    </row>
    <row r="15" spans="1:5" x14ac:dyDescent="0.4">
      <c r="A15" s="109" t="s">
        <v>569</v>
      </c>
      <c r="B15" s="108"/>
      <c r="C15" s="110"/>
      <c r="D15" s="51"/>
      <c r="E15" s="111"/>
    </row>
    <row r="16" spans="1:5" x14ac:dyDescent="0.4">
      <c r="A16" s="109" t="s">
        <v>570</v>
      </c>
      <c r="B16" s="108"/>
      <c r="C16" s="110"/>
      <c r="D16" s="51"/>
      <c r="E16" s="111"/>
    </row>
    <row r="17" spans="1:5" x14ac:dyDescent="0.4">
      <c r="A17" s="109" t="s">
        <v>571</v>
      </c>
      <c r="B17" s="108"/>
      <c r="C17" s="110"/>
      <c r="D17" s="51"/>
      <c r="E17" s="111"/>
    </row>
    <row r="18" spans="1:5" x14ac:dyDescent="0.4">
      <c r="A18" s="109" t="s">
        <v>572</v>
      </c>
      <c r="B18" s="108"/>
      <c r="C18" s="110"/>
      <c r="D18" s="51"/>
      <c r="E18" s="111"/>
    </row>
    <row r="19" spans="1:5" x14ac:dyDescent="0.4">
      <c r="A19" s="109" t="s">
        <v>573</v>
      </c>
      <c r="B19" s="108"/>
      <c r="C19" s="110"/>
      <c r="D19" s="51"/>
      <c r="E19" s="111"/>
    </row>
    <row r="20" spans="1:5" x14ac:dyDescent="0.4">
      <c r="A20" s="109" t="s">
        <v>574</v>
      </c>
      <c r="B20" s="108"/>
      <c r="C20" s="110"/>
      <c r="D20" s="51"/>
      <c r="E20" s="111"/>
    </row>
    <row r="21" spans="1:5" x14ac:dyDescent="0.4">
      <c r="A21" s="109" t="s">
        <v>575</v>
      </c>
      <c r="B21" s="108"/>
      <c r="C21" s="110"/>
      <c r="D21" s="51"/>
      <c r="E21" s="111"/>
    </row>
    <row r="22" spans="1:5" x14ac:dyDescent="0.4">
      <c r="A22" s="109" t="s">
        <v>576</v>
      </c>
      <c r="B22" s="108"/>
      <c r="C22" s="110"/>
      <c r="D22" s="51"/>
      <c r="E22" s="111"/>
    </row>
    <row r="23" spans="1:5" x14ac:dyDescent="0.4">
      <c r="A23" s="109" t="s">
        <v>577</v>
      </c>
      <c r="B23" s="108"/>
      <c r="C23" s="110"/>
      <c r="D23" s="51"/>
      <c r="E23" s="111"/>
    </row>
    <row r="24" spans="1:5" x14ac:dyDescent="0.4">
      <c r="A24" s="109" t="s">
        <v>578</v>
      </c>
      <c r="B24" s="108"/>
      <c r="C24" s="110"/>
      <c r="D24" s="51"/>
      <c r="E24" s="111"/>
    </row>
    <row r="25" spans="1:5" x14ac:dyDescent="0.4">
      <c r="A25" s="109" t="s">
        <v>579</v>
      </c>
      <c r="B25" s="108"/>
      <c r="C25" s="110"/>
      <c r="D25" s="51"/>
      <c r="E25" s="111"/>
    </row>
    <row r="26" spans="1:5" x14ac:dyDescent="0.4">
      <c r="A26" s="109" t="s">
        <v>580</v>
      </c>
      <c r="B26" s="108"/>
      <c r="C26" s="110"/>
      <c r="D26" s="51"/>
      <c r="E26" s="111"/>
    </row>
    <row r="27" spans="1:5" x14ac:dyDescent="0.4">
      <c r="A27" s="109" t="s">
        <v>581</v>
      </c>
      <c r="B27" s="108"/>
      <c r="C27" s="110"/>
      <c r="D27" s="51"/>
      <c r="E27" s="111"/>
    </row>
    <row r="28" spans="1:5" x14ac:dyDescent="0.4">
      <c r="A28" s="109" t="s">
        <v>582</v>
      </c>
      <c r="B28" s="108"/>
      <c r="C28" s="110"/>
      <c r="D28" s="51"/>
      <c r="E28" s="111"/>
    </row>
    <row r="29" spans="1:5" x14ac:dyDescent="0.4">
      <c r="A29" s="109" t="s">
        <v>583</v>
      </c>
      <c r="B29" s="108"/>
      <c r="C29" s="110"/>
      <c r="D29" s="51"/>
      <c r="E29" s="111"/>
    </row>
    <row r="30" spans="1:5" x14ac:dyDescent="0.4">
      <c r="A30" s="109" t="s">
        <v>584</v>
      </c>
      <c r="B30" s="108"/>
      <c r="C30" s="110"/>
      <c r="D30" s="51"/>
      <c r="E30" s="111"/>
    </row>
    <row r="31" spans="1:5" x14ac:dyDescent="0.4">
      <c r="A31" s="109" t="s">
        <v>585</v>
      </c>
      <c r="B31" s="108"/>
      <c r="C31" s="110"/>
      <c r="D31" s="51"/>
      <c r="E31" s="111"/>
    </row>
    <row r="32" spans="1:5" x14ac:dyDescent="0.4">
      <c r="A32" s="109" t="s">
        <v>586</v>
      </c>
      <c r="B32" s="108"/>
      <c r="C32" s="110"/>
      <c r="D32" s="51"/>
      <c r="E32" s="111"/>
    </row>
    <row r="33" spans="1:5" x14ac:dyDescent="0.4">
      <c r="A33" s="109" t="s">
        <v>587</v>
      </c>
      <c r="B33" s="108"/>
      <c r="C33" s="110"/>
      <c r="D33" s="51"/>
      <c r="E33" s="111"/>
    </row>
    <row r="34" spans="1:5" x14ac:dyDescent="0.4">
      <c r="A34" s="109" t="s">
        <v>588</v>
      </c>
      <c r="B34" s="108"/>
      <c r="C34" s="110"/>
      <c r="D34" s="51"/>
      <c r="E34" s="111"/>
    </row>
    <row r="35" spans="1:5" x14ac:dyDescent="0.4">
      <c r="A35" s="109" t="s">
        <v>589</v>
      </c>
      <c r="B35" s="108"/>
      <c r="C35" s="110"/>
      <c r="D35" s="51"/>
      <c r="E35" s="111"/>
    </row>
    <row r="36" spans="1:5" x14ac:dyDescent="0.4">
      <c r="A36" s="109" t="s">
        <v>590</v>
      </c>
      <c r="B36" s="108"/>
      <c r="C36" s="110"/>
      <c r="D36" s="51"/>
      <c r="E36" s="111"/>
    </row>
    <row r="37" spans="1:5" x14ac:dyDescent="0.4">
      <c r="A37" s="109" t="s">
        <v>591</v>
      </c>
      <c r="B37" s="108"/>
      <c r="C37" s="110"/>
      <c r="D37" s="51"/>
      <c r="E37" s="111"/>
    </row>
    <row r="38" spans="1:5" x14ac:dyDescent="0.4">
      <c r="A38" s="109" t="s">
        <v>592</v>
      </c>
      <c r="B38" s="108"/>
      <c r="C38" s="110"/>
      <c r="D38" s="51"/>
      <c r="E38" s="111"/>
    </row>
    <row r="39" spans="1:5" x14ac:dyDescent="0.4">
      <c r="A39" s="109" t="s">
        <v>593</v>
      </c>
      <c r="B39" s="108"/>
      <c r="C39" s="110"/>
      <c r="D39" s="51"/>
      <c r="E39" s="111"/>
    </row>
    <row r="40" spans="1:5" x14ac:dyDescent="0.4">
      <c r="A40" s="109" t="s">
        <v>594</v>
      </c>
      <c r="B40" s="108"/>
      <c r="C40" s="110"/>
      <c r="D40" s="51"/>
      <c r="E40" s="111"/>
    </row>
    <row r="41" spans="1:5" x14ac:dyDescent="0.4">
      <c r="A41" s="109" t="s">
        <v>595</v>
      </c>
      <c r="B41" s="108"/>
      <c r="C41" s="110"/>
      <c r="D41" s="51"/>
      <c r="E41" s="111"/>
    </row>
    <row r="42" spans="1:5" x14ac:dyDescent="0.4">
      <c r="A42" s="109" t="s">
        <v>596</v>
      </c>
      <c r="B42" s="108"/>
      <c r="C42" s="110"/>
      <c r="D42" s="51"/>
      <c r="E42" s="111"/>
    </row>
    <row r="43" spans="1:5" x14ac:dyDescent="0.4">
      <c r="A43" s="109" t="s">
        <v>597</v>
      </c>
      <c r="B43" s="108"/>
      <c r="C43" s="110"/>
      <c r="D43" s="51"/>
      <c r="E43" s="111"/>
    </row>
    <row r="44" spans="1:5" x14ac:dyDescent="0.4">
      <c r="A44" s="109" t="s">
        <v>598</v>
      </c>
      <c r="B44" s="108"/>
      <c r="C44" s="110"/>
      <c r="D44" s="51"/>
      <c r="E44" s="111"/>
    </row>
    <row r="45" spans="1:5" x14ac:dyDescent="0.4">
      <c r="A45" s="109" t="s">
        <v>599</v>
      </c>
      <c r="B45" s="108"/>
      <c r="C45" s="110"/>
      <c r="D45" s="51"/>
      <c r="E45" s="111"/>
    </row>
    <row r="46" spans="1:5" x14ac:dyDescent="0.4">
      <c r="A46" s="109" t="s">
        <v>600</v>
      </c>
      <c r="B46" s="108"/>
      <c r="C46" s="110"/>
      <c r="D46" s="51"/>
      <c r="E46" s="111"/>
    </row>
    <row r="47" spans="1:5" x14ac:dyDescent="0.4">
      <c r="A47" s="109" t="s">
        <v>601</v>
      </c>
      <c r="B47" s="108"/>
      <c r="C47" s="110"/>
      <c r="D47" s="51"/>
      <c r="E47" s="111"/>
    </row>
    <row r="48" spans="1:5" x14ac:dyDescent="0.4">
      <c r="A48" s="109" t="s">
        <v>602</v>
      </c>
      <c r="B48" s="108"/>
      <c r="C48" s="110"/>
      <c r="D48" s="51"/>
      <c r="E48" s="111"/>
    </row>
    <row r="49" spans="1:5" x14ac:dyDescent="0.4">
      <c r="A49" s="109" t="s">
        <v>603</v>
      </c>
      <c r="B49" s="108"/>
      <c r="C49" s="110"/>
      <c r="D49" s="51"/>
      <c r="E49" s="111"/>
    </row>
    <row r="50" spans="1:5" x14ac:dyDescent="0.4">
      <c r="A50" s="109" t="s">
        <v>604</v>
      </c>
      <c r="B50" s="108"/>
      <c r="C50" s="110"/>
      <c r="D50" s="51"/>
      <c r="E50" s="111"/>
    </row>
    <row r="51" spans="1:5" ht="19.5" thickBot="1" x14ac:dyDescent="0.45">
      <c r="A51" s="109" t="s">
        <v>605</v>
      </c>
      <c r="B51" s="108"/>
      <c r="C51" s="110"/>
      <c r="D51" s="51"/>
      <c r="E51" s="111"/>
    </row>
    <row r="52" spans="1:5" ht="19.5" thickTop="1" x14ac:dyDescent="0.4">
      <c r="A52" s="54"/>
      <c r="B52" s="54"/>
      <c r="C52" s="54"/>
      <c r="D52" s="54"/>
      <c r="E52" s="54"/>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8ADC4-B7CE-48EC-BF06-AC1F057E8143}">
  <sheetPr codeName="Sheet08"/>
  <dimension ref="A1:F11"/>
  <sheetViews>
    <sheetView workbookViewId="0">
      <selection activeCell="B23" sqref="B23"/>
    </sheetView>
    <sheetView workbookViewId="1"/>
  </sheetViews>
  <sheetFormatPr defaultRowHeight="18.75" x14ac:dyDescent="0.4"/>
  <cols>
    <col min="1" max="1" width="7.25" bestFit="1" customWidth="1"/>
    <col min="2" max="2" width="31" bestFit="1" customWidth="1"/>
    <col min="3" max="3" width="43" bestFit="1" customWidth="1"/>
    <col min="4" max="4" width="9.25" bestFit="1" customWidth="1"/>
  </cols>
  <sheetData>
    <row r="1" spans="1:6" ht="20.25" thickTop="1" thickBot="1" x14ac:dyDescent="0.45">
      <c r="A1" s="10" t="s">
        <v>223</v>
      </c>
      <c r="B1" s="11" t="s">
        <v>154</v>
      </c>
      <c r="C1" s="11" t="s">
        <v>137</v>
      </c>
      <c r="D1" s="11" t="s">
        <v>141</v>
      </c>
      <c r="E1" s="12"/>
    </row>
    <row r="2" spans="1:6" x14ac:dyDescent="0.4">
      <c r="A2" s="109" t="s">
        <v>674</v>
      </c>
      <c r="B2" s="108" t="s">
        <v>696</v>
      </c>
      <c r="C2" s="110" t="s">
        <v>94</v>
      </c>
      <c r="D2" s="51"/>
      <c r="E2" s="111"/>
      <c r="F2" t="s">
        <v>705</v>
      </c>
    </row>
    <row r="3" spans="1:6" x14ac:dyDescent="0.4">
      <c r="A3" s="109" t="s">
        <v>675</v>
      </c>
      <c r="B3" s="108" t="s">
        <v>697</v>
      </c>
      <c r="C3" s="110" t="s">
        <v>684</v>
      </c>
      <c r="D3" s="51"/>
      <c r="E3" s="111"/>
      <c r="F3" t="s">
        <v>706</v>
      </c>
    </row>
    <row r="4" spans="1:6" x14ac:dyDescent="0.4">
      <c r="A4" s="109" t="s">
        <v>676</v>
      </c>
      <c r="B4" s="108" t="s">
        <v>698</v>
      </c>
      <c r="C4" s="110" t="s">
        <v>114</v>
      </c>
      <c r="D4" s="51"/>
      <c r="E4" s="111"/>
      <c r="F4" t="s">
        <v>707</v>
      </c>
    </row>
    <row r="5" spans="1:6" x14ac:dyDescent="0.4">
      <c r="A5" s="109" t="s">
        <v>677</v>
      </c>
      <c r="B5" s="108" t="s">
        <v>699</v>
      </c>
      <c r="C5" s="110" t="s">
        <v>114</v>
      </c>
      <c r="D5" s="51"/>
      <c r="E5" s="111"/>
      <c r="F5" t="s">
        <v>708</v>
      </c>
    </row>
    <row r="6" spans="1:6" x14ac:dyDescent="0.4">
      <c r="A6" s="109" t="s">
        <v>678</v>
      </c>
      <c r="B6" s="108" t="s">
        <v>700</v>
      </c>
      <c r="C6" s="110" t="s">
        <v>94</v>
      </c>
      <c r="D6" s="51"/>
      <c r="E6" s="111"/>
      <c r="F6" t="s">
        <v>709</v>
      </c>
    </row>
    <row r="7" spans="1:6" x14ac:dyDescent="0.4">
      <c r="A7" s="109" t="s">
        <v>679</v>
      </c>
      <c r="B7" s="108" t="s">
        <v>701</v>
      </c>
      <c r="C7" s="110" t="s">
        <v>684</v>
      </c>
      <c r="D7" s="51"/>
      <c r="E7" s="111"/>
      <c r="F7" t="s">
        <v>710</v>
      </c>
    </row>
    <row r="8" spans="1:6" x14ac:dyDescent="0.4">
      <c r="A8" s="109" t="s">
        <v>680</v>
      </c>
      <c r="B8" s="108" t="s">
        <v>702</v>
      </c>
      <c r="C8" s="110" t="s">
        <v>114</v>
      </c>
      <c r="D8" s="51"/>
      <c r="E8" s="111"/>
      <c r="F8" t="s">
        <v>711</v>
      </c>
    </row>
    <row r="9" spans="1:6" x14ac:dyDescent="0.4">
      <c r="A9" s="109" t="s">
        <v>681</v>
      </c>
      <c r="B9" s="108" t="s">
        <v>703</v>
      </c>
      <c r="C9" s="110" t="s">
        <v>94</v>
      </c>
      <c r="D9" s="51"/>
      <c r="E9" s="111"/>
      <c r="F9" t="s">
        <v>712</v>
      </c>
    </row>
    <row r="10" spans="1:6" ht="19.5" thickBot="1" x14ac:dyDescent="0.45">
      <c r="A10" s="109" t="s">
        <v>682</v>
      </c>
      <c r="B10" s="108" t="s">
        <v>704</v>
      </c>
      <c r="C10" s="110" t="s">
        <v>684</v>
      </c>
      <c r="D10" s="51"/>
      <c r="E10" s="111"/>
      <c r="F10" t="s">
        <v>713</v>
      </c>
    </row>
    <row r="11" spans="1:6" ht="19.5" thickTop="1" x14ac:dyDescent="0.4">
      <c r="A11" s="54"/>
      <c r="B11" s="54"/>
      <c r="C11" s="54"/>
      <c r="D11" s="54"/>
      <c r="E11" s="54"/>
    </row>
  </sheetData>
  <phoneticPr fontId="1"/>
  <dataValidations count="9">
    <dataValidation type="list" allowBlank="1" showInputMessage="1" showErrorMessage="1" sqref="C2" xr:uid="{596F8958-092D-4619-B4D1-7776799E359F}">
      <formula1>照明01</formula1>
    </dataValidation>
    <dataValidation type="list" allowBlank="1" showInputMessage="1" showErrorMessage="1" sqref="C3" xr:uid="{B352E11A-DC8E-4ED4-B6B7-7F9E7A29E0C3}">
      <formula1>照明02</formula1>
    </dataValidation>
    <dataValidation type="list" allowBlank="1" showInputMessage="1" showErrorMessage="1" sqref="C4" xr:uid="{771E830F-7D1C-4511-BBE7-EB1814988E17}">
      <formula1>照明03</formula1>
    </dataValidation>
    <dataValidation type="list" allowBlank="1" showInputMessage="1" showErrorMessage="1" sqref="C5" xr:uid="{A9DEEB40-6D36-491D-A1DA-88CE69DDFAF7}">
      <formula1>照明04</formula1>
    </dataValidation>
    <dataValidation type="list" allowBlank="1" showInputMessage="1" showErrorMessage="1" sqref="C6" xr:uid="{BFFDD1A1-77E9-4998-B4B1-D2A3CFF441E2}">
      <formula1>照明05</formula1>
    </dataValidation>
    <dataValidation type="list" allowBlank="1" showInputMessage="1" showErrorMessage="1" sqref="C7" xr:uid="{C9CFD447-7387-49B6-81D1-E493913FB82E}">
      <formula1>照明06</formula1>
    </dataValidation>
    <dataValidation type="list" allowBlank="1" showInputMessage="1" showErrorMessage="1" sqref="C8" xr:uid="{595C3103-1ACC-4980-B830-B9F936C67A81}">
      <formula1>照明07</formula1>
    </dataValidation>
    <dataValidation type="list" allowBlank="1" showInputMessage="1" showErrorMessage="1" sqref="C9" xr:uid="{D67D9313-D5FC-4908-BF7B-2F47653143F9}">
      <formula1>照明08</formula1>
    </dataValidation>
    <dataValidation type="list" allowBlank="1" showInputMessage="1" showErrorMessage="1" sqref="C10" xr:uid="{AC8B6B7C-F08E-4694-BE4C-B0B1EE86AD96}">
      <formula1>照明09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6F51B-C9C4-4094-83AA-D04E9A738579}">
  <sheetPr codeName="Sheet09"/>
  <dimension ref="A1:F22"/>
  <sheetViews>
    <sheetView workbookViewId="0">
      <selection activeCell="C9" sqref="C9"/>
    </sheetView>
    <sheetView workbookViewId="1"/>
  </sheetViews>
  <sheetFormatPr defaultRowHeight="18.75" x14ac:dyDescent="0.4"/>
  <cols>
    <col min="1" max="1" width="9.125" bestFit="1" customWidth="1"/>
    <col min="2" max="2" width="42.25" bestFit="1" customWidth="1"/>
    <col min="3" max="3" width="33.25" bestFit="1" customWidth="1"/>
    <col min="4" max="4" width="9.25" bestFit="1" customWidth="1"/>
  </cols>
  <sheetData>
    <row r="1" spans="1:6" ht="20.25" thickTop="1" thickBot="1" x14ac:dyDescent="0.45">
      <c r="A1" s="10" t="s">
        <v>223</v>
      </c>
      <c r="B1" s="11" t="s">
        <v>154</v>
      </c>
      <c r="C1" s="11" t="s">
        <v>137</v>
      </c>
      <c r="D1" s="11" t="s">
        <v>141</v>
      </c>
      <c r="E1" s="12"/>
    </row>
    <row r="2" spans="1:6" x14ac:dyDescent="0.4">
      <c r="A2" s="109" t="s">
        <v>715</v>
      </c>
      <c r="B2" s="108" t="s">
        <v>719</v>
      </c>
      <c r="C2" s="110" t="s">
        <v>94</v>
      </c>
      <c r="D2" s="51"/>
      <c r="E2" s="111"/>
      <c r="F2" t="s">
        <v>793</v>
      </c>
    </row>
    <row r="3" spans="1:6" x14ac:dyDescent="0.4">
      <c r="A3" s="109" t="s">
        <v>716</v>
      </c>
      <c r="B3" s="108" t="s">
        <v>720</v>
      </c>
      <c r="C3" s="110" t="s">
        <v>99</v>
      </c>
      <c r="D3" s="51"/>
      <c r="E3" s="111"/>
      <c r="F3" t="s">
        <v>794</v>
      </c>
    </row>
    <row r="4" spans="1:6" x14ac:dyDescent="0.4">
      <c r="A4" s="109" t="s">
        <v>717</v>
      </c>
      <c r="B4" s="108" t="s">
        <v>721</v>
      </c>
      <c r="C4" s="110" t="s">
        <v>725</v>
      </c>
      <c r="D4" s="51"/>
      <c r="E4" s="111"/>
      <c r="F4" t="s">
        <v>795</v>
      </c>
    </row>
    <row r="5" spans="1:6" x14ac:dyDescent="0.4">
      <c r="A5" s="109" t="s">
        <v>718</v>
      </c>
      <c r="B5" s="108" t="s">
        <v>722</v>
      </c>
      <c r="C5" s="110" t="s">
        <v>97</v>
      </c>
      <c r="D5" s="51"/>
      <c r="E5" s="111"/>
      <c r="F5" t="s">
        <v>796</v>
      </c>
    </row>
    <row r="6" spans="1:6" x14ac:dyDescent="0.4">
      <c r="A6" s="109" t="s">
        <v>777</v>
      </c>
      <c r="B6" s="108" t="s">
        <v>723</v>
      </c>
      <c r="C6" s="110">
        <v>99</v>
      </c>
      <c r="D6" s="51"/>
      <c r="E6" s="111"/>
      <c r="F6" t="s">
        <v>797</v>
      </c>
    </row>
    <row r="7" spans="1:6" x14ac:dyDescent="0.4">
      <c r="A7" s="109" t="s">
        <v>778</v>
      </c>
      <c r="B7" s="108" t="s">
        <v>766</v>
      </c>
      <c r="C7" s="110">
        <v>99</v>
      </c>
      <c r="D7" s="51"/>
      <c r="E7" s="111"/>
      <c r="F7" t="s">
        <v>798</v>
      </c>
    </row>
    <row r="8" spans="1:6" x14ac:dyDescent="0.4">
      <c r="A8" s="109" t="s">
        <v>779</v>
      </c>
      <c r="B8" s="108" t="s">
        <v>762</v>
      </c>
      <c r="C8" s="110" t="s">
        <v>730</v>
      </c>
      <c r="D8" s="51"/>
      <c r="E8" s="111"/>
      <c r="F8" t="s">
        <v>799</v>
      </c>
    </row>
    <row r="9" spans="1:6" x14ac:dyDescent="0.4">
      <c r="A9" s="109" t="s">
        <v>780</v>
      </c>
      <c r="B9" s="108" t="s">
        <v>763</v>
      </c>
      <c r="C9" s="110" t="s">
        <v>732</v>
      </c>
      <c r="D9" s="51"/>
      <c r="E9" s="111"/>
      <c r="F9" t="s">
        <v>800</v>
      </c>
    </row>
    <row r="10" spans="1:6" x14ac:dyDescent="0.4">
      <c r="A10" s="109" t="s">
        <v>781</v>
      </c>
      <c r="B10" s="108" t="s">
        <v>764</v>
      </c>
      <c r="C10" s="110" t="s">
        <v>735</v>
      </c>
      <c r="D10" s="51"/>
      <c r="E10" s="111"/>
      <c r="F10" t="s">
        <v>801</v>
      </c>
    </row>
    <row r="11" spans="1:6" x14ac:dyDescent="0.4">
      <c r="A11" s="109" t="s">
        <v>782</v>
      </c>
      <c r="B11" s="108" t="s">
        <v>765</v>
      </c>
      <c r="C11" s="110" t="s">
        <v>747</v>
      </c>
      <c r="D11" s="51"/>
      <c r="E11" s="111"/>
      <c r="F11" t="s">
        <v>802</v>
      </c>
    </row>
    <row r="12" spans="1:6" x14ac:dyDescent="0.4">
      <c r="A12" s="109" t="s">
        <v>783</v>
      </c>
      <c r="B12" s="108" t="s">
        <v>767</v>
      </c>
      <c r="C12" s="110">
        <v>99</v>
      </c>
      <c r="D12" s="51"/>
      <c r="E12" s="111"/>
      <c r="F12" t="s">
        <v>803</v>
      </c>
    </row>
    <row r="13" spans="1:6" x14ac:dyDescent="0.4">
      <c r="A13" s="109" t="s">
        <v>784</v>
      </c>
      <c r="B13" s="108" t="s">
        <v>768</v>
      </c>
      <c r="C13" s="110" t="s">
        <v>730</v>
      </c>
      <c r="D13" s="51"/>
      <c r="E13" s="111"/>
      <c r="F13" t="s">
        <v>804</v>
      </c>
    </row>
    <row r="14" spans="1:6" x14ac:dyDescent="0.4">
      <c r="A14" s="109" t="s">
        <v>785</v>
      </c>
      <c r="B14" s="108" t="s">
        <v>769</v>
      </c>
      <c r="C14" s="110" t="s">
        <v>732</v>
      </c>
      <c r="D14" s="51"/>
      <c r="E14" s="111"/>
      <c r="F14" t="s">
        <v>805</v>
      </c>
    </row>
    <row r="15" spans="1:6" x14ac:dyDescent="0.4">
      <c r="A15" s="109" t="s">
        <v>786</v>
      </c>
      <c r="B15" s="108" t="s">
        <v>770</v>
      </c>
      <c r="C15" s="110" t="s">
        <v>735</v>
      </c>
      <c r="D15" s="51"/>
      <c r="E15" s="111"/>
      <c r="F15" t="s">
        <v>806</v>
      </c>
    </row>
    <row r="16" spans="1:6" x14ac:dyDescent="0.4">
      <c r="A16" s="109" t="s">
        <v>787</v>
      </c>
      <c r="B16" s="108" t="s">
        <v>771</v>
      </c>
      <c r="C16" s="110" t="s">
        <v>747</v>
      </c>
      <c r="D16" s="51"/>
      <c r="E16" s="111"/>
      <c r="F16" t="s">
        <v>807</v>
      </c>
    </row>
    <row r="17" spans="1:6" x14ac:dyDescent="0.4">
      <c r="A17" s="109" t="s">
        <v>788</v>
      </c>
      <c r="B17" s="108" t="s">
        <v>772</v>
      </c>
      <c r="C17" s="110">
        <v>99</v>
      </c>
      <c r="D17" s="51"/>
      <c r="E17" s="111"/>
      <c r="F17" t="s">
        <v>808</v>
      </c>
    </row>
    <row r="18" spans="1:6" x14ac:dyDescent="0.4">
      <c r="A18" s="109" t="s">
        <v>789</v>
      </c>
      <c r="B18" s="108" t="s">
        <v>773</v>
      </c>
      <c r="C18" s="110" t="s">
        <v>730</v>
      </c>
      <c r="D18" s="51"/>
      <c r="E18" s="111"/>
      <c r="F18" t="s">
        <v>809</v>
      </c>
    </row>
    <row r="19" spans="1:6" x14ac:dyDescent="0.4">
      <c r="A19" s="109" t="s">
        <v>790</v>
      </c>
      <c r="B19" s="108" t="s">
        <v>774</v>
      </c>
      <c r="C19" s="110" t="s">
        <v>732</v>
      </c>
      <c r="D19" s="51"/>
      <c r="E19" s="111"/>
      <c r="F19" t="s">
        <v>810</v>
      </c>
    </row>
    <row r="20" spans="1:6" x14ac:dyDescent="0.4">
      <c r="A20" s="109" t="s">
        <v>791</v>
      </c>
      <c r="B20" s="108" t="s">
        <v>775</v>
      </c>
      <c r="C20" s="110" t="s">
        <v>735</v>
      </c>
      <c r="D20" s="51"/>
      <c r="E20" s="111"/>
      <c r="F20" t="s">
        <v>811</v>
      </c>
    </row>
    <row r="21" spans="1:6" ht="19.5" thickBot="1" x14ac:dyDescent="0.45">
      <c r="A21" s="109" t="s">
        <v>792</v>
      </c>
      <c r="B21" s="108" t="s">
        <v>776</v>
      </c>
      <c r="C21" s="110" t="s">
        <v>747</v>
      </c>
      <c r="D21" s="51"/>
      <c r="E21" s="111"/>
      <c r="F21" t="s">
        <v>812</v>
      </c>
    </row>
    <row r="22" spans="1:6" ht="19.5" thickTop="1" x14ac:dyDescent="0.4">
      <c r="A22" s="54"/>
      <c r="B22" s="54"/>
      <c r="C22" s="54"/>
      <c r="D22" s="54"/>
      <c r="E22" s="54"/>
    </row>
  </sheetData>
  <phoneticPr fontId="1"/>
  <dataValidations count="20">
    <dataValidation type="list" allowBlank="1" showInputMessage="1" showErrorMessage="1" sqref="C2" xr:uid="{CA12DAFC-EF02-4859-AB2B-07935E7098AC}">
      <formula1>太陽光01</formula1>
    </dataValidation>
    <dataValidation type="list" allowBlank="1" showInputMessage="1" showErrorMessage="1" sqref="C3" xr:uid="{88056263-AFE8-4C6E-9D46-C8A1BAAD88E5}">
      <formula1>太陽光02</formula1>
    </dataValidation>
    <dataValidation type="list" allowBlank="1" showInputMessage="1" showErrorMessage="1" sqref="C4" xr:uid="{4D2AD1AD-F930-48A6-8066-E596E934A962}">
      <formula1>太陽光03</formula1>
    </dataValidation>
    <dataValidation type="list" allowBlank="1" showInputMessage="1" showErrorMessage="1" sqref="C5" xr:uid="{B1E3AD2C-83D2-4020-85E3-2CFA418A7098}">
      <formula1>太陽光04</formula1>
    </dataValidation>
    <dataValidation type="list" allowBlank="1" showInputMessage="1" showErrorMessage="1" sqref="C6" xr:uid="{437437A5-BCF5-4D2B-872E-C3DE08377493}">
      <formula1>太陽光05</formula1>
    </dataValidation>
    <dataValidation type="list" allowBlank="1" showInputMessage="1" showErrorMessage="1" sqref="C7" xr:uid="{8994BC91-A9BA-4289-AE12-ED62487D951C}">
      <formula1>太陽光06</formula1>
    </dataValidation>
    <dataValidation type="list" allowBlank="1" showInputMessage="1" showErrorMessage="1" sqref="C8" xr:uid="{8B29CD24-CD9B-46C3-AE61-DEF5AC0117A2}">
      <formula1>太陽光07</formula1>
    </dataValidation>
    <dataValidation type="list" allowBlank="1" showInputMessage="1" showErrorMessage="1" sqref="C9" xr:uid="{4F9BB62B-2F94-4D93-A1A7-F5250DD556E8}">
      <formula1>太陽光08</formula1>
    </dataValidation>
    <dataValidation type="list" allowBlank="1" showInputMessage="1" showErrorMessage="1" sqref="C10" xr:uid="{088146C6-98E0-45E4-AD5F-BCA7759ED2BB}">
      <formula1>太陽光09</formula1>
    </dataValidation>
    <dataValidation type="list" allowBlank="1" showInputMessage="1" showErrorMessage="1" sqref="C11" xr:uid="{3415B4D3-3A5B-4C2B-9A2C-72CA0E0BE693}">
      <formula1>太陽光10</formula1>
    </dataValidation>
    <dataValidation type="list" allowBlank="1" showInputMessage="1" showErrorMessage="1" sqref="C12" xr:uid="{1037E86C-9950-4C94-8254-3BFB1E6A7BA8}">
      <formula1>太陽光11</formula1>
    </dataValidation>
    <dataValidation type="list" allowBlank="1" showInputMessage="1" showErrorMessage="1" sqref="C13" xr:uid="{498D1657-D006-4457-B1C7-9D5DEFB03B12}">
      <formula1>太陽光12</formula1>
    </dataValidation>
    <dataValidation type="list" allowBlank="1" showInputMessage="1" showErrorMessage="1" sqref="C14" xr:uid="{C07FBFB4-7BC2-44F3-A606-30788523429C}">
      <formula1>太陽光13</formula1>
    </dataValidation>
    <dataValidation type="list" allowBlank="1" showInputMessage="1" showErrorMessage="1" sqref="C15" xr:uid="{EA19FD98-1A07-452A-BE1A-BD189AA1D759}">
      <formula1>太陽光14</formula1>
    </dataValidation>
    <dataValidation type="list" allowBlank="1" showInputMessage="1" showErrorMessage="1" sqref="C16" xr:uid="{C492AA94-B0DE-46C8-AE05-1CC93FF0CD39}">
      <formula1>太陽光15</formula1>
    </dataValidation>
    <dataValidation type="list" allowBlank="1" showInputMessage="1" showErrorMessage="1" sqref="C17" xr:uid="{86FD6C43-6D8F-498D-985E-A2E82821B6F3}">
      <formula1>太陽光16</formula1>
    </dataValidation>
    <dataValidation type="list" allowBlank="1" showInputMessage="1" showErrorMessage="1" sqref="C18" xr:uid="{4A954D73-4DB6-4F39-BCC7-D8F361887D99}">
      <formula1>太陽光17</formula1>
    </dataValidation>
    <dataValidation type="list" allowBlank="1" showInputMessage="1" showErrorMessage="1" sqref="C19" xr:uid="{7F955D87-49BE-4C1F-A59A-EC7FFDE9FE29}">
      <formula1>太陽光18</formula1>
    </dataValidation>
    <dataValidation type="list" allowBlank="1" showInputMessage="1" showErrorMessage="1" sqref="C20" xr:uid="{75908871-4DA5-4E31-99A0-9C2A365263F3}">
      <formula1>太陽光19</formula1>
    </dataValidation>
    <dataValidation type="list" allowBlank="1" showInputMessage="1" showErrorMessage="1" sqref="C21" xr:uid="{9E810E8B-87DE-4347-BAF9-B25BB166A7DE}">
      <formula1>太陽光20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21382-67C9-4CBE-A984-207E42BC036F}">
  <sheetPr codeName="Sheet10"/>
  <dimension ref="A1:F57"/>
  <sheetViews>
    <sheetView tabSelected="1" topLeftCell="A37" workbookViewId="0">
      <selection activeCell="C52" sqref="C52"/>
    </sheetView>
    <sheetView workbookViewId="1"/>
  </sheetViews>
  <sheetFormatPr defaultRowHeight="18.75" x14ac:dyDescent="0.4"/>
  <cols>
    <col min="1" max="1" width="9.125" bestFit="1" customWidth="1"/>
    <col min="2" max="2" width="78" bestFit="1" customWidth="1"/>
    <col min="3" max="3" width="120.875" bestFit="1" customWidth="1"/>
    <col min="4" max="4" width="9.25" bestFit="1" customWidth="1"/>
  </cols>
  <sheetData>
    <row r="1" spans="1:6" ht="20.25" thickTop="1" thickBot="1" x14ac:dyDescent="0.45">
      <c r="A1" s="10" t="s">
        <v>223</v>
      </c>
      <c r="B1" s="11" t="s">
        <v>154</v>
      </c>
      <c r="C1" s="11" t="s">
        <v>137</v>
      </c>
      <c r="D1" s="11" t="s">
        <v>141</v>
      </c>
      <c r="E1" s="12"/>
    </row>
    <row r="2" spans="1:6" x14ac:dyDescent="0.4">
      <c r="A2" s="109" t="s">
        <v>813</v>
      </c>
      <c r="B2" s="108" t="s">
        <v>840</v>
      </c>
      <c r="C2" s="110" t="s">
        <v>550</v>
      </c>
      <c r="D2" s="51"/>
      <c r="E2" s="111"/>
      <c r="F2" t="s">
        <v>987</v>
      </c>
    </row>
    <row r="3" spans="1:6" x14ac:dyDescent="0.4">
      <c r="A3" s="109" t="s">
        <v>814</v>
      </c>
      <c r="B3" s="108" t="s">
        <v>842</v>
      </c>
      <c r="C3" s="110" t="s">
        <v>843</v>
      </c>
      <c r="D3" s="51"/>
      <c r="E3" s="111"/>
      <c r="F3" t="s">
        <v>988</v>
      </c>
    </row>
    <row r="4" spans="1:6" x14ac:dyDescent="0.4">
      <c r="A4" s="109" t="s">
        <v>815</v>
      </c>
      <c r="B4" s="108" t="s">
        <v>852</v>
      </c>
      <c r="C4" s="110" t="s">
        <v>844</v>
      </c>
      <c r="D4" s="51"/>
      <c r="E4" s="111"/>
      <c r="F4" t="s">
        <v>989</v>
      </c>
    </row>
    <row r="5" spans="1:6" x14ac:dyDescent="0.4">
      <c r="A5" s="109" t="s">
        <v>816</v>
      </c>
      <c r="B5" s="108" t="s">
        <v>855</v>
      </c>
      <c r="C5" s="110" t="s">
        <v>848</v>
      </c>
      <c r="D5" s="51"/>
      <c r="E5" s="111"/>
      <c r="F5" t="s">
        <v>1042</v>
      </c>
    </row>
    <row r="6" spans="1:6" x14ac:dyDescent="0.4">
      <c r="A6" s="109" t="s">
        <v>817</v>
      </c>
      <c r="B6" s="108" t="s">
        <v>857</v>
      </c>
      <c r="C6" s="110" t="s">
        <v>848</v>
      </c>
      <c r="D6" s="51"/>
      <c r="E6" s="111"/>
      <c r="F6" t="s">
        <v>990</v>
      </c>
    </row>
    <row r="7" spans="1:6" x14ac:dyDescent="0.4">
      <c r="A7" s="109" t="s">
        <v>818</v>
      </c>
      <c r="B7" s="108" t="s">
        <v>845</v>
      </c>
      <c r="C7" s="110" t="s">
        <v>846</v>
      </c>
      <c r="D7" s="51"/>
      <c r="E7" s="111"/>
      <c r="F7" t="s">
        <v>991</v>
      </c>
    </row>
    <row r="8" spans="1:6" x14ac:dyDescent="0.4">
      <c r="A8" s="109" t="s">
        <v>819</v>
      </c>
      <c r="B8" s="108" t="s">
        <v>860</v>
      </c>
      <c r="C8" s="110" t="s">
        <v>650</v>
      </c>
      <c r="D8" s="51"/>
      <c r="E8" s="111"/>
      <c r="F8" t="s">
        <v>992</v>
      </c>
    </row>
    <row r="9" spans="1:6" x14ac:dyDescent="0.4">
      <c r="A9" s="109" t="s">
        <v>820</v>
      </c>
      <c r="B9" s="108" t="s">
        <v>867</v>
      </c>
      <c r="C9" s="110" t="s">
        <v>650</v>
      </c>
      <c r="D9" s="51"/>
      <c r="E9" s="111"/>
      <c r="F9" t="s">
        <v>993</v>
      </c>
    </row>
    <row r="10" spans="1:6" x14ac:dyDescent="0.4">
      <c r="A10" s="109" t="s">
        <v>821</v>
      </c>
      <c r="B10" s="108" t="s">
        <v>859</v>
      </c>
      <c r="C10" s="110" t="s">
        <v>650</v>
      </c>
      <c r="D10" s="51"/>
      <c r="E10" s="111"/>
      <c r="F10" t="s">
        <v>994</v>
      </c>
    </row>
    <row r="11" spans="1:6" x14ac:dyDescent="0.4">
      <c r="A11" s="109" t="s">
        <v>822</v>
      </c>
      <c r="B11" s="108" t="s">
        <v>861</v>
      </c>
      <c r="C11" s="110">
        <v>99</v>
      </c>
      <c r="D11" s="51"/>
      <c r="E11" s="111"/>
      <c r="F11" t="s">
        <v>995</v>
      </c>
    </row>
    <row r="12" spans="1:6" x14ac:dyDescent="0.4">
      <c r="A12" s="109" t="s">
        <v>823</v>
      </c>
      <c r="B12" s="108" t="s">
        <v>862</v>
      </c>
      <c r="C12" s="110" t="s">
        <v>735</v>
      </c>
      <c r="D12" s="51"/>
      <c r="E12" s="111"/>
      <c r="F12" t="s">
        <v>996</v>
      </c>
    </row>
    <row r="13" spans="1:6" x14ac:dyDescent="0.4">
      <c r="A13" s="109" t="s">
        <v>824</v>
      </c>
      <c r="B13" s="108" t="s">
        <v>863</v>
      </c>
      <c r="C13" s="110" t="s">
        <v>747</v>
      </c>
      <c r="D13" s="51"/>
      <c r="E13" s="111"/>
      <c r="F13" t="s">
        <v>997</v>
      </c>
    </row>
    <row r="14" spans="1:6" x14ac:dyDescent="0.4">
      <c r="A14" s="109" t="s">
        <v>825</v>
      </c>
      <c r="B14" s="108" t="s">
        <v>864</v>
      </c>
      <c r="C14" s="110">
        <v>99</v>
      </c>
      <c r="D14" s="51"/>
      <c r="E14" s="111"/>
      <c r="F14" t="s">
        <v>998</v>
      </c>
    </row>
    <row r="15" spans="1:6" x14ac:dyDescent="0.4">
      <c r="A15" s="109" t="s">
        <v>826</v>
      </c>
      <c r="B15" s="108" t="s">
        <v>868</v>
      </c>
      <c r="C15" s="110" t="s">
        <v>999</v>
      </c>
      <c r="D15" s="51"/>
      <c r="E15" s="111"/>
      <c r="F15" t="s">
        <v>999</v>
      </c>
    </row>
    <row r="16" spans="1:6" x14ac:dyDescent="0.4">
      <c r="A16" s="109" t="s">
        <v>827</v>
      </c>
      <c r="B16" s="108" t="s">
        <v>869</v>
      </c>
      <c r="C16" s="110" t="s">
        <v>871</v>
      </c>
      <c r="D16" s="51"/>
      <c r="E16" s="111"/>
      <c r="F16" t="s">
        <v>1000</v>
      </c>
    </row>
    <row r="17" spans="1:6" x14ac:dyDescent="0.4">
      <c r="A17" s="109" t="s">
        <v>828</v>
      </c>
      <c r="B17" s="108" t="s">
        <v>872</v>
      </c>
      <c r="C17" s="110"/>
      <c r="D17" s="51"/>
      <c r="E17" s="111"/>
      <c r="F17" t="s">
        <v>1043</v>
      </c>
    </row>
    <row r="18" spans="1:6" x14ac:dyDescent="0.4">
      <c r="A18" s="109" t="s">
        <v>829</v>
      </c>
      <c r="B18" s="108" t="s">
        <v>873</v>
      </c>
      <c r="C18" s="110"/>
      <c r="D18" s="51"/>
      <c r="E18" s="111"/>
      <c r="F18" t="s">
        <v>1044</v>
      </c>
    </row>
    <row r="19" spans="1:6" x14ac:dyDescent="0.4">
      <c r="A19" s="109" t="s">
        <v>830</v>
      </c>
      <c r="B19" s="108" t="s">
        <v>874</v>
      </c>
      <c r="C19" s="110"/>
      <c r="D19" s="51"/>
      <c r="E19" s="111"/>
      <c r="F19" t="s">
        <v>1001</v>
      </c>
    </row>
    <row r="20" spans="1:6" x14ac:dyDescent="0.4">
      <c r="A20" s="109" t="s">
        <v>831</v>
      </c>
      <c r="B20" s="108" t="s">
        <v>875</v>
      </c>
      <c r="C20" s="110"/>
      <c r="D20" s="51"/>
      <c r="E20" s="111"/>
      <c r="F20" t="s">
        <v>1002</v>
      </c>
    </row>
    <row r="21" spans="1:6" x14ac:dyDescent="0.4">
      <c r="A21" s="109" t="s">
        <v>832</v>
      </c>
      <c r="B21" s="108" t="s">
        <v>876</v>
      </c>
      <c r="C21" s="110"/>
      <c r="D21" s="51"/>
      <c r="E21" s="111"/>
      <c r="F21" t="s">
        <v>1003</v>
      </c>
    </row>
    <row r="22" spans="1:6" x14ac:dyDescent="0.4">
      <c r="A22" s="109" t="s">
        <v>833</v>
      </c>
      <c r="B22" s="108" t="s">
        <v>877</v>
      </c>
      <c r="C22" s="110"/>
      <c r="D22" s="51"/>
      <c r="E22" s="111"/>
      <c r="F22" t="s">
        <v>1004</v>
      </c>
    </row>
    <row r="23" spans="1:6" x14ac:dyDescent="0.4">
      <c r="A23" s="109" t="s">
        <v>834</v>
      </c>
      <c r="B23" s="108" t="s">
        <v>878</v>
      </c>
      <c r="C23" s="110"/>
      <c r="D23" s="51"/>
      <c r="E23" s="111"/>
      <c r="F23" t="s">
        <v>1005</v>
      </c>
    </row>
    <row r="24" spans="1:6" x14ac:dyDescent="0.4">
      <c r="A24" s="109" t="s">
        <v>954</v>
      </c>
      <c r="B24" s="108" t="s">
        <v>879</v>
      </c>
      <c r="C24" s="110"/>
      <c r="D24" s="51"/>
      <c r="E24" s="111"/>
      <c r="F24" t="s">
        <v>1006</v>
      </c>
    </row>
    <row r="25" spans="1:6" x14ac:dyDescent="0.4">
      <c r="A25" s="109" t="s">
        <v>955</v>
      </c>
      <c r="B25" s="108" t="s">
        <v>880</v>
      </c>
      <c r="C25" s="110"/>
      <c r="D25" s="51"/>
      <c r="E25" s="111"/>
      <c r="F25" t="s">
        <v>1007</v>
      </c>
    </row>
    <row r="26" spans="1:6" x14ac:dyDescent="0.4">
      <c r="A26" s="109" t="s">
        <v>956</v>
      </c>
      <c r="B26" s="108" t="s">
        <v>881</v>
      </c>
      <c r="C26" s="110"/>
      <c r="D26" s="51"/>
      <c r="E26" s="111"/>
      <c r="F26" t="s">
        <v>1008</v>
      </c>
    </row>
    <row r="27" spans="1:6" x14ac:dyDescent="0.4">
      <c r="A27" s="109" t="s">
        <v>957</v>
      </c>
      <c r="B27" s="108" t="s">
        <v>889</v>
      </c>
      <c r="C27" s="110" t="s">
        <v>550</v>
      </c>
      <c r="D27" s="51"/>
      <c r="E27" s="111"/>
      <c r="F27" t="s">
        <v>1009</v>
      </c>
    </row>
    <row r="28" spans="1:6" x14ac:dyDescent="0.4">
      <c r="A28" s="109" t="s">
        <v>958</v>
      </c>
      <c r="B28" s="108" t="s">
        <v>890</v>
      </c>
      <c r="C28" s="110" t="s">
        <v>725</v>
      </c>
      <c r="D28" s="51"/>
      <c r="E28" s="111"/>
      <c r="F28" t="s">
        <v>1010</v>
      </c>
    </row>
    <row r="29" spans="1:6" x14ac:dyDescent="0.4">
      <c r="A29" s="109" t="s">
        <v>959</v>
      </c>
      <c r="B29" s="108" t="s">
        <v>891</v>
      </c>
      <c r="C29" s="110" t="s">
        <v>735</v>
      </c>
      <c r="D29" s="51"/>
      <c r="E29" s="111"/>
      <c r="F29" t="s">
        <v>1011</v>
      </c>
    </row>
    <row r="30" spans="1:6" x14ac:dyDescent="0.4">
      <c r="A30" s="109" t="s">
        <v>960</v>
      </c>
      <c r="B30" s="108" t="s">
        <v>892</v>
      </c>
      <c r="C30" s="110" t="s">
        <v>123</v>
      </c>
      <c r="D30" s="51"/>
      <c r="E30" s="111"/>
      <c r="F30" t="s">
        <v>1012</v>
      </c>
    </row>
    <row r="31" spans="1:6" x14ac:dyDescent="0.4">
      <c r="A31" s="109" t="s">
        <v>961</v>
      </c>
      <c r="B31" s="108" t="s">
        <v>893</v>
      </c>
      <c r="C31" s="110" t="s">
        <v>894</v>
      </c>
      <c r="D31" s="51"/>
      <c r="E31" s="111"/>
      <c r="F31" t="s">
        <v>1013</v>
      </c>
    </row>
    <row r="32" spans="1:6" x14ac:dyDescent="0.4">
      <c r="A32" s="109" t="s">
        <v>962</v>
      </c>
      <c r="B32" s="108" t="s">
        <v>896</v>
      </c>
      <c r="C32" s="110"/>
      <c r="D32" s="51"/>
      <c r="E32" s="111"/>
      <c r="F32" t="s">
        <v>1014</v>
      </c>
    </row>
    <row r="33" spans="1:6" x14ac:dyDescent="0.4">
      <c r="A33" s="109" t="s">
        <v>963</v>
      </c>
      <c r="B33" s="108" t="s">
        <v>897</v>
      </c>
      <c r="C33" s="110" t="s">
        <v>898</v>
      </c>
      <c r="D33" s="51"/>
      <c r="E33" s="111"/>
      <c r="F33" t="s">
        <v>1015</v>
      </c>
    </row>
    <row r="34" spans="1:6" x14ac:dyDescent="0.4">
      <c r="A34" s="109" t="s">
        <v>964</v>
      </c>
      <c r="B34" s="108" t="s">
        <v>904</v>
      </c>
      <c r="C34" s="110" t="s">
        <v>123</v>
      </c>
      <c r="D34" s="51"/>
      <c r="E34" s="111"/>
      <c r="F34" t="s">
        <v>1016</v>
      </c>
    </row>
    <row r="35" spans="1:6" x14ac:dyDescent="0.4">
      <c r="A35" s="109" t="s">
        <v>965</v>
      </c>
      <c r="B35" s="108" t="s">
        <v>905</v>
      </c>
      <c r="C35" s="110"/>
      <c r="D35" s="51"/>
      <c r="E35" s="111"/>
      <c r="F35" t="s">
        <v>1017</v>
      </c>
    </row>
    <row r="36" spans="1:6" x14ac:dyDescent="0.4">
      <c r="A36" s="109" t="s">
        <v>966</v>
      </c>
      <c r="B36" s="108" t="s">
        <v>899</v>
      </c>
      <c r="C36" s="110" t="s">
        <v>900</v>
      </c>
      <c r="D36" s="51"/>
      <c r="E36" s="111"/>
      <c r="F36" t="s">
        <v>1018</v>
      </c>
    </row>
    <row r="37" spans="1:6" x14ac:dyDescent="0.4">
      <c r="A37" s="109" t="s">
        <v>967</v>
      </c>
      <c r="B37" s="108" t="s">
        <v>902</v>
      </c>
      <c r="C37" s="110"/>
      <c r="D37" s="51"/>
      <c r="E37" s="111"/>
      <c r="F37" t="s">
        <v>1019</v>
      </c>
    </row>
    <row r="38" spans="1:6" x14ac:dyDescent="0.4">
      <c r="A38" s="109" t="s">
        <v>968</v>
      </c>
      <c r="B38" s="108" t="s">
        <v>79</v>
      </c>
      <c r="C38" s="110" t="s">
        <v>80</v>
      </c>
      <c r="D38" s="51"/>
      <c r="E38" s="111"/>
      <c r="F38" t="s">
        <v>1020</v>
      </c>
    </row>
    <row r="39" spans="1:6" x14ac:dyDescent="0.4">
      <c r="A39" s="109" t="s">
        <v>969</v>
      </c>
      <c r="B39" s="108" t="s">
        <v>918</v>
      </c>
      <c r="C39" s="110"/>
      <c r="D39" s="51"/>
      <c r="E39" s="111"/>
      <c r="F39" t="s">
        <v>1021</v>
      </c>
    </row>
    <row r="40" spans="1:6" x14ac:dyDescent="0.4">
      <c r="A40" s="109" t="s">
        <v>970</v>
      </c>
      <c r="B40" s="108" t="s">
        <v>920</v>
      </c>
      <c r="C40" s="110" t="s">
        <v>747</v>
      </c>
      <c r="D40" s="51"/>
      <c r="E40" s="111"/>
      <c r="F40" t="s">
        <v>1022</v>
      </c>
    </row>
    <row r="41" spans="1:6" x14ac:dyDescent="0.4">
      <c r="A41" s="109" t="s">
        <v>971</v>
      </c>
      <c r="B41" s="108" t="s">
        <v>922</v>
      </c>
      <c r="C41" s="110" t="s">
        <v>97</v>
      </c>
      <c r="D41" s="51"/>
      <c r="E41" s="111"/>
      <c r="F41" t="s">
        <v>1023</v>
      </c>
    </row>
    <row r="42" spans="1:6" x14ac:dyDescent="0.4">
      <c r="A42" s="109" t="s">
        <v>972</v>
      </c>
      <c r="B42" s="108" t="s">
        <v>924</v>
      </c>
      <c r="C42" s="110">
        <v>0.1</v>
      </c>
      <c r="D42" s="51"/>
      <c r="E42" s="111"/>
      <c r="F42" t="s">
        <v>1024</v>
      </c>
    </row>
    <row r="43" spans="1:6" x14ac:dyDescent="0.4">
      <c r="A43" s="109" t="s">
        <v>973</v>
      </c>
      <c r="B43" s="108" t="s">
        <v>926</v>
      </c>
      <c r="C43" s="110" t="s">
        <v>908</v>
      </c>
      <c r="D43" s="51"/>
      <c r="E43" s="111"/>
      <c r="F43" t="s">
        <v>1025</v>
      </c>
    </row>
    <row r="44" spans="1:6" x14ac:dyDescent="0.4">
      <c r="A44" s="109" t="s">
        <v>974</v>
      </c>
      <c r="B44" s="108" t="s">
        <v>928</v>
      </c>
      <c r="C44" s="110" t="s">
        <v>916</v>
      </c>
      <c r="D44" s="51"/>
      <c r="E44" s="111"/>
      <c r="F44" t="s">
        <v>1026</v>
      </c>
    </row>
    <row r="45" spans="1:6" x14ac:dyDescent="0.4">
      <c r="A45" s="109" t="s">
        <v>975</v>
      </c>
      <c r="B45" s="108" t="s">
        <v>930</v>
      </c>
      <c r="C45" s="110"/>
      <c r="D45" s="51"/>
      <c r="E45" s="111"/>
      <c r="F45" t="s">
        <v>1027</v>
      </c>
    </row>
    <row r="46" spans="1:6" x14ac:dyDescent="0.4">
      <c r="A46" s="109" t="s">
        <v>976</v>
      </c>
      <c r="B46" s="108" t="s">
        <v>932</v>
      </c>
      <c r="C46" s="110" t="s">
        <v>747</v>
      </c>
      <c r="D46" s="51"/>
      <c r="E46" s="111"/>
      <c r="F46" t="s">
        <v>1028</v>
      </c>
    </row>
    <row r="47" spans="1:6" x14ac:dyDescent="0.4">
      <c r="A47" s="109" t="s">
        <v>977</v>
      </c>
      <c r="B47" s="108" t="s">
        <v>934</v>
      </c>
      <c r="C47" s="110" t="s">
        <v>97</v>
      </c>
      <c r="D47" s="51"/>
      <c r="E47" s="111"/>
      <c r="F47" t="s">
        <v>1029</v>
      </c>
    </row>
    <row r="48" spans="1:6" x14ac:dyDescent="0.4">
      <c r="A48" s="109" t="s">
        <v>978</v>
      </c>
      <c r="B48" s="108" t="s">
        <v>936</v>
      </c>
      <c r="C48" s="110" t="s">
        <v>914</v>
      </c>
      <c r="D48" s="51"/>
      <c r="E48" s="111"/>
      <c r="F48" t="s">
        <v>1030</v>
      </c>
    </row>
    <row r="49" spans="1:6" x14ac:dyDescent="0.4">
      <c r="A49" s="109" t="s">
        <v>979</v>
      </c>
      <c r="B49" s="108" t="s">
        <v>938</v>
      </c>
      <c r="C49" s="110" t="s">
        <v>908</v>
      </c>
      <c r="D49" s="51"/>
      <c r="E49" s="111"/>
      <c r="F49" t="s">
        <v>1031</v>
      </c>
    </row>
    <row r="50" spans="1:6" x14ac:dyDescent="0.4">
      <c r="A50" s="109" t="s">
        <v>980</v>
      </c>
      <c r="B50" s="108" t="s">
        <v>940</v>
      </c>
      <c r="C50" s="110" t="s">
        <v>916</v>
      </c>
      <c r="D50" s="51"/>
      <c r="E50" s="111"/>
      <c r="F50" t="s">
        <v>1032</v>
      </c>
    </row>
    <row r="51" spans="1:6" x14ac:dyDescent="0.4">
      <c r="A51" s="109" t="s">
        <v>981</v>
      </c>
      <c r="B51" s="108" t="s">
        <v>942</v>
      </c>
      <c r="C51" s="110"/>
      <c r="D51" s="51"/>
      <c r="E51" s="111"/>
      <c r="F51" t="s">
        <v>1033</v>
      </c>
    </row>
    <row r="52" spans="1:6" x14ac:dyDescent="0.4">
      <c r="A52" s="109" t="s">
        <v>982</v>
      </c>
      <c r="B52" s="108" t="s">
        <v>944</v>
      </c>
      <c r="C52" s="110" t="s">
        <v>747</v>
      </c>
      <c r="D52" s="51"/>
      <c r="E52" s="111"/>
      <c r="F52" t="s">
        <v>1034</v>
      </c>
    </row>
    <row r="53" spans="1:6" x14ac:dyDescent="0.4">
      <c r="A53" s="109" t="s">
        <v>983</v>
      </c>
      <c r="B53" s="108" t="s">
        <v>946</v>
      </c>
      <c r="C53" s="110" t="s">
        <v>97</v>
      </c>
      <c r="D53" s="51"/>
      <c r="E53" s="111"/>
      <c r="F53" t="s">
        <v>1035</v>
      </c>
    </row>
    <row r="54" spans="1:6" x14ac:dyDescent="0.4">
      <c r="A54" s="109" t="s">
        <v>984</v>
      </c>
      <c r="B54" s="108" t="s">
        <v>948</v>
      </c>
      <c r="C54" s="110" t="s">
        <v>914</v>
      </c>
      <c r="D54" s="51"/>
      <c r="E54" s="111"/>
      <c r="F54" t="s">
        <v>1036</v>
      </c>
    </row>
    <row r="55" spans="1:6" x14ac:dyDescent="0.4">
      <c r="A55" s="109" t="s">
        <v>985</v>
      </c>
      <c r="B55" s="108" t="s">
        <v>950</v>
      </c>
      <c r="C55" s="110" t="s">
        <v>908</v>
      </c>
      <c r="D55" s="51"/>
      <c r="E55" s="111"/>
      <c r="F55" t="s">
        <v>1037</v>
      </c>
    </row>
    <row r="56" spans="1:6" ht="19.5" thickBot="1" x14ac:dyDescent="0.45">
      <c r="A56" s="109" t="s">
        <v>986</v>
      </c>
      <c r="B56" s="108" t="s">
        <v>952</v>
      </c>
      <c r="C56" s="110" t="s">
        <v>916</v>
      </c>
      <c r="D56" s="51"/>
      <c r="E56" s="111"/>
      <c r="F56" t="s">
        <v>1038</v>
      </c>
    </row>
    <row r="57" spans="1:6" ht="19.5" thickTop="1" x14ac:dyDescent="0.4">
      <c r="A57" s="54"/>
      <c r="B57" s="54"/>
      <c r="C57" s="54"/>
      <c r="D57" s="54"/>
      <c r="E57" s="54"/>
    </row>
  </sheetData>
  <phoneticPr fontId="1"/>
  <dataValidations count="55">
    <dataValidation type="list" allowBlank="1" showInputMessage="1" showErrorMessage="1" sqref="C2" xr:uid="{6B337B26-26C2-4F41-B0E5-789929A4B241}">
      <formula1>太陽熱01</formula1>
    </dataValidation>
    <dataValidation type="list" allowBlank="1" showInputMessage="1" showErrorMessage="1" sqref="C3" xr:uid="{F57C84F6-87DA-44B6-BEE0-1B5EF5DE751B}">
      <formula1>太陽熱02</formula1>
    </dataValidation>
    <dataValidation type="list" allowBlank="1" showInputMessage="1" showErrorMessage="1" sqref="C4" xr:uid="{73DC0756-479E-4D2A-B3A9-D4A8B3930F7B}">
      <formula1>太陽熱03</formula1>
    </dataValidation>
    <dataValidation type="list" allowBlank="1" showInputMessage="1" showErrorMessage="1" sqref="C5" xr:uid="{B285AECB-0304-4444-9933-F063A6DAE9CF}">
      <formula1>太陽熱04</formula1>
    </dataValidation>
    <dataValidation type="list" allowBlank="1" showInputMessage="1" showErrorMessage="1" sqref="C6" xr:uid="{5F8CD681-2F5B-47FF-9884-39F73AF06455}">
      <formula1>太陽熱05</formula1>
    </dataValidation>
    <dataValidation type="list" allowBlank="1" showInputMessage="1" showErrorMessage="1" sqref="C7" xr:uid="{8791800A-4229-413B-B9D2-92D73688EB27}">
      <formula1>太陽熱06</formula1>
    </dataValidation>
    <dataValidation type="list" allowBlank="1" showInputMessage="1" showErrorMessage="1" sqref="C8" xr:uid="{3AF8FEC0-9523-4525-9D87-7E6A28CEA6C8}">
      <formula1>太陽熱07</formula1>
    </dataValidation>
    <dataValidation type="list" allowBlank="1" showInputMessage="1" showErrorMessage="1" sqref="C9" xr:uid="{F9813131-953F-4BBA-BB1E-E946CE40EF95}">
      <formula1>太陽熱08</formula1>
    </dataValidation>
    <dataValidation type="list" allowBlank="1" showInputMessage="1" showErrorMessage="1" sqref="C10" xr:uid="{A1A418DE-7CFD-4C41-963F-6951A21CF85E}">
      <formula1>太陽熱09</formula1>
    </dataValidation>
    <dataValidation type="list" allowBlank="1" showInputMessage="1" showErrorMessage="1" sqref="C11" xr:uid="{D1928760-32E6-408B-913B-7E18F34DBBB0}">
      <formula1>太陽熱10</formula1>
    </dataValidation>
    <dataValidation type="list" allowBlank="1" showInputMessage="1" showErrorMessage="1" sqref="C12" xr:uid="{3D1781BE-D617-4801-8708-A5EC6C64913A}">
      <formula1>太陽熱11</formula1>
    </dataValidation>
    <dataValidation type="list" allowBlank="1" showInputMessage="1" showErrorMessage="1" sqref="C13" xr:uid="{4BDBFC7C-9B67-47D2-BF13-6C5ED7EF6523}">
      <formula1>太陽熱12</formula1>
    </dataValidation>
    <dataValidation type="list" allowBlank="1" showInputMessage="1" showErrorMessage="1" sqref="C14" xr:uid="{27EB67DC-E4C5-4718-BBD1-B0A6D872AF19}">
      <formula1>太陽熱13</formula1>
    </dataValidation>
    <dataValidation type="list" allowBlank="1" showInputMessage="1" showErrorMessage="1" sqref="C15" xr:uid="{4129F825-9E9D-4A6A-874C-958AE5325693}">
      <formula1>太陽熱14</formula1>
    </dataValidation>
    <dataValidation type="list" allowBlank="1" showInputMessage="1" showErrorMessage="1" sqref="C16" xr:uid="{12B57CFF-7914-4C81-B368-155DF349413A}">
      <formula1>太陽熱15</formula1>
    </dataValidation>
    <dataValidation type="list" allowBlank="1" showInputMessage="1" showErrorMessage="1" sqref="C17" xr:uid="{F1205567-08AF-4372-BFB3-E79527A95F64}">
      <formula1>太陽熱16</formula1>
    </dataValidation>
    <dataValidation type="list" allowBlank="1" showInputMessage="1" showErrorMessage="1" sqref="C18" xr:uid="{CA682C36-BC74-4556-AADB-2BD356859016}">
      <formula1>太陽熱17</formula1>
    </dataValidation>
    <dataValidation type="list" allowBlank="1" showInputMessage="1" showErrorMessage="1" sqref="C19" xr:uid="{56798913-A39F-4D23-9C44-865A6ABD15DF}">
      <formula1>太陽熱18</formula1>
    </dataValidation>
    <dataValidation type="list" allowBlank="1" showInputMessage="1" showErrorMessage="1" sqref="C20" xr:uid="{8BB5A18E-EF1E-445A-A7F7-26DD6137C1CA}">
      <formula1>太陽熱19</formula1>
    </dataValidation>
    <dataValidation type="list" allowBlank="1" showInputMessage="1" showErrorMessage="1" sqref="C21" xr:uid="{D67380B5-AE31-4B29-AB30-16F0D0DE98B6}">
      <formula1>太陽熱20</formula1>
    </dataValidation>
    <dataValidation type="list" allowBlank="1" showInputMessage="1" showErrorMessage="1" sqref="C22" xr:uid="{5FC5EF87-BCD2-487D-871F-40336161874F}">
      <formula1>太陽熱21</formula1>
    </dataValidation>
    <dataValidation type="list" allowBlank="1" showInputMessage="1" showErrorMessage="1" sqref="C23" xr:uid="{99A795E6-4C41-4A52-9B3A-3380EADADC5D}">
      <formula1>太陽熱22</formula1>
    </dataValidation>
    <dataValidation type="list" allowBlank="1" showInputMessage="1" showErrorMessage="1" sqref="C24" xr:uid="{D3B5F276-F6F0-498A-B0EE-9B192483210A}">
      <formula1>太陽熱23</formula1>
    </dataValidation>
    <dataValidation type="list" allowBlank="1" showInputMessage="1" showErrorMessage="1" sqref="C25" xr:uid="{E6F38766-71AB-4BA8-AEAD-2516A8E099C0}">
      <formula1>太陽熱24</formula1>
    </dataValidation>
    <dataValidation type="list" allowBlank="1" showInputMessage="1" showErrorMessage="1" sqref="C26" xr:uid="{7A692957-9D19-4364-AF54-4138F167F519}">
      <formula1>太陽熱25</formula1>
    </dataValidation>
    <dataValidation type="list" allowBlank="1" showInputMessage="1" showErrorMessage="1" sqref="C27" xr:uid="{49E7EA29-D6AA-4EF1-A130-EE1DDEEFAD2A}">
      <formula1>太陽熱26</formula1>
    </dataValidation>
    <dataValidation type="list" allowBlank="1" showInputMessage="1" showErrorMessage="1" sqref="C28" xr:uid="{674F8521-0050-4B81-84C5-AEE3DF60205E}">
      <formula1>太陽熱27</formula1>
    </dataValidation>
    <dataValidation type="list" allowBlank="1" showInputMessage="1" showErrorMessage="1" sqref="C29" xr:uid="{0A8EDE5B-B875-4D80-B2B1-14B99C8D1D7B}">
      <formula1>太陽熱28</formula1>
    </dataValidation>
    <dataValidation type="list" allowBlank="1" showInputMessage="1" showErrorMessage="1" sqref="C30" xr:uid="{6D52402B-22CD-4CB1-953D-35C44E250137}">
      <formula1>太陽熱29</formula1>
    </dataValidation>
    <dataValidation type="list" allowBlank="1" showInputMessage="1" showErrorMessage="1" sqref="C31" xr:uid="{97F6049B-6387-443B-94AC-C7C93A380A65}">
      <formula1>太陽熱30</formula1>
    </dataValidation>
    <dataValidation type="list" allowBlank="1" showInputMessage="1" showErrorMessage="1" sqref="C32" xr:uid="{7E22AD4E-2EE8-4A76-B2FC-1D8024BA5335}">
      <formula1>太陽熱31</formula1>
    </dataValidation>
    <dataValidation type="list" allowBlank="1" showInputMessage="1" showErrorMessage="1" sqref="C33" xr:uid="{8E8E559B-E52B-45D7-B8F5-6424968184D7}">
      <formula1>太陽熱32</formula1>
    </dataValidation>
    <dataValidation type="list" allowBlank="1" showInputMessage="1" showErrorMessage="1" sqref="C34" xr:uid="{7744BFB1-66FB-4941-B1F0-8F0BEC91C4FE}">
      <formula1>太陽熱33</formula1>
    </dataValidation>
    <dataValidation type="list" allowBlank="1" showInputMessage="1" showErrorMessage="1" sqref="C35" xr:uid="{DA73751C-DB35-498B-9127-F02AE52292E6}">
      <formula1>太陽熱34</formula1>
    </dataValidation>
    <dataValidation type="list" allowBlank="1" showInputMessage="1" showErrorMessage="1" sqref="C36" xr:uid="{F63335DA-6059-4802-8CAF-E6CD780F14CA}">
      <formula1>太陽熱35</formula1>
    </dataValidation>
    <dataValidation type="list" allowBlank="1" showInputMessage="1" showErrorMessage="1" sqref="C37" xr:uid="{17779BBB-A883-4CAF-A184-0CB1F2CB01A1}">
      <formula1>太陽熱36</formula1>
    </dataValidation>
    <dataValidation type="list" allowBlank="1" showInputMessage="1" showErrorMessage="1" sqref="C38" xr:uid="{1EF3B6C3-225C-4B5E-9B8E-165670A00FA4}">
      <formula1>太陽熱37</formula1>
    </dataValidation>
    <dataValidation type="list" allowBlank="1" showInputMessage="1" showErrorMessage="1" sqref="C39" xr:uid="{01F9EE2C-6C85-47E1-86E7-D3D1E442D0D3}">
      <formula1>太陽熱38</formula1>
    </dataValidation>
    <dataValidation type="list" allowBlank="1" showInputMessage="1" showErrorMessage="1" sqref="C40" xr:uid="{AD83A2F5-528F-4271-A121-1CB3CB2B291C}">
      <formula1>太陽熱39</formula1>
    </dataValidation>
    <dataValidation type="list" allowBlank="1" showInputMessage="1" showErrorMessage="1" sqref="C41" xr:uid="{12315BA8-0C48-4B22-8C17-B7B06A014BE6}">
      <formula1>太陽熱40</formula1>
    </dataValidation>
    <dataValidation type="list" allowBlank="1" showInputMessage="1" showErrorMessage="1" sqref="C42" xr:uid="{990FD820-3A5E-4B9E-A444-7D62F0AF9A68}">
      <formula1>太陽熱41</formula1>
    </dataValidation>
    <dataValidation type="list" allowBlank="1" showInputMessage="1" showErrorMessage="1" sqref="C43" xr:uid="{30E05C27-6430-43AE-BCA3-5E293B62BD90}">
      <formula1>太陽熱42</formula1>
    </dataValidation>
    <dataValidation type="list" allowBlank="1" showInputMessage="1" showErrorMessage="1" sqref="C44" xr:uid="{168D888E-ABAF-4D16-9B45-4CA0A5CD762E}">
      <formula1>太陽熱43</formula1>
    </dataValidation>
    <dataValidation type="list" allowBlank="1" showInputMessage="1" showErrorMessage="1" sqref="C45" xr:uid="{D1ACD9E8-A5B6-4A59-8130-1B58052AC8ED}">
      <formula1>太陽熱44</formula1>
    </dataValidation>
    <dataValidation type="list" allowBlank="1" showInputMessage="1" showErrorMessage="1" sqref="C46" xr:uid="{17F296B4-D2B4-47B0-9F44-236A1A62B9E1}">
      <formula1>太陽熱45</formula1>
    </dataValidation>
    <dataValidation type="list" allowBlank="1" showInputMessage="1" showErrorMessage="1" sqref="C47" xr:uid="{9600CEAA-74E1-45AE-AC6B-3F8C0393976D}">
      <formula1>太陽熱46</formula1>
    </dataValidation>
    <dataValidation type="list" allowBlank="1" showInputMessage="1" showErrorMessage="1" sqref="C48" xr:uid="{6E871EA8-2523-451D-AFFD-55AC3BAF5AB6}">
      <formula1>太陽熱47</formula1>
    </dataValidation>
    <dataValidation type="list" allowBlank="1" showInputMessage="1" showErrorMessage="1" sqref="C49" xr:uid="{246F7768-E8DB-40A1-A8FE-827730E2A553}">
      <formula1>太陽熱48</formula1>
    </dataValidation>
    <dataValidation type="list" allowBlank="1" showInputMessage="1" showErrorMessage="1" sqref="C50" xr:uid="{D4890B22-34D8-46A5-8393-0067EA69496B}">
      <formula1>太陽熱49</formula1>
    </dataValidation>
    <dataValidation type="list" allowBlank="1" showInputMessage="1" showErrorMessage="1" sqref="C51" xr:uid="{22D01168-C911-4280-9AFB-0021ACFD5020}">
      <formula1>太陽熱50</formula1>
    </dataValidation>
    <dataValidation type="list" allowBlank="1" showInputMessage="1" showErrorMessage="1" sqref="C52" xr:uid="{67291FDA-D7ED-4CC3-B8F9-26549DE0588B}">
      <formula1>太陽熱51</formula1>
    </dataValidation>
    <dataValidation type="list" allowBlank="1" showInputMessage="1" showErrorMessage="1" sqref="C53" xr:uid="{9523DC41-7088-40B1-835C-5A8EA51BD433}">
      <formula1>太陽熱52</formula1>
    </dataValidation>
    <dataValidation type="list" allowBlank="1" showInputMessage="1" showErrorMessage="1" sqref="C54" xr:uid="{DB729ED9-9E26-4343-9AA9-FE3F13F4C163}">
      <formula1>太陽熱53</formula1>
    </dataValidation>
    <dataValidation type="list" allowBlank="1" showInputMessage="1" showErrorMessage="1" sqref="C55" xr:uid="{6622AD03-CEB2-4D45-9A2A-80F333508CC1}">
      <formula1>太陽熱54</formula1>
    </dataValidation>
    <dataValidation type="list" allowBlank="1" showInputMessage="1" showErrorMessage="1" sqref="C56" xr:uid="{EF671468-0287-4A03-B2D0-D68F62852870}">
      <formula1>太陽熱55</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973F-8102-434B-BB38-832F3B82B463}">
  <sheetPr codeName="Sheet11"/>
  <dimension ref="A1"/>
  <sheetViews>
    <sheetView workbookViewId="0"/>
    <sheetView workbookViewId="1"/>
  </sheetViews>
  <sheetFormatPr defaultRowHeight="18.75" x14ac:dyDescent="0.4"/>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AC87-6B90-4D28-A557-78D16649D210}">
  <sheetPr codeName="Sheet29"/>
  <dimension ref="A2:F610"/>
  <sheetViews>
    <sheetView topLeftCell="A465" zoomScaleNormal="100" workbookViewId="0">
      <selection activeCell="F480" sqref="F480"/>
    </sheetView>
    <sheetView tabSelected="1" topLeftCell="A232" workbookViewId="1">
      <selection activeCell="F251" sqref="F251:F267"/>
    </sheetView>
  </sheetViews>
  <sheetFormatPr defaultRowHeight="16.5" x14ac:dyDescent="0.4"/>
  <cols>
    <col min="1" max="1" width="9.25" style="34" bestFit="1" customWidth="1"/>
    <col min="2" max="2" width="8.125" style="45" bestFit="1" customWidth="1"/>
    <col min="3" max="3" width="67.375" style="34" bestFit="1" customWidth="1"/>
    <col min="4" max="4" width="87" style="34" bestFit="1" customWidth="1"/>
    <col min="5" max="5" width="23.625" style="34" bestFit="1" customWidth="1"/>
    <col min="6" max="16384" width="9" style="34"/>
  </cols>
  <sheetData>
    <row r="2" spans="1:5" x14ac:dyDescent="0.4">
      <c r="A2" s="29" t="s">
        <v>158</v>
      </c>
      <c r="B2" s="30" t="s">
        <v>142</v>
      </c>
      <c r="C2" s="31" t="s">
        <v>145</v>
      </c>
      <c r="D2" s="32" t="s">
        <v>3</v>
      </c>
      <c r="E2" s="33"/>
    </row>
    <row r="3" spans="1:5" x14ac:dyDescent="0.4">
      <c r="A3" s="35" t="s">
        <v>158</v>
      </c>
      <c r="B3" s="36"/>
      <c r="C3" s="37" t="s">
        <v>146</v>
      </c>
      <c r="D3" s="38" t="s">
        <v>35</v>
      </c>
      <c r="E3" s="33"/>
    </row>
    <row r="4" spans="1:5" x14ac:dyDescent="0.4">
      <c r="A4" s="35" t="s">
        <v>158</v>
      </c>
      <c r="B4" s="36"/>
      <c r="C4" s="37" t="s">
        <v>144</v>
      </c>
      <c r="D4" s="38" t="s">
        <v>6</v>
      </c>
      <c r="E4" s="33"/>
    </row>
    <row r="5" spans="1:5" x14ac:dyDescent="0.4">
      <c r="A5" s="35" t="s">
        <v>158</v>
      </c>
      <c r="B5" s="39"/>
      <c r="C5" s="40"/>
      <c r="D5" s="41" t="s">
        <v>136</v>
      </c>
      <c r="E5" s="33"/>
    </row>
    <row r="6" spans="1:5" x14ac:dyDescent="0.4">
      <c r="A6" s="35" t="s">
        <v>158</v>
      </c>
      <c r="B6" s="36"/>
      <c r="C6" s="37" t="s">
        <v>148</v>
      </c>
      <c r="D6" s="38" t="s">
        <v>4</v>
      </c>
      <c r="E6" s="33"/>
    </row>
    <row r="7" spans="1:5" x14ac:dyDescent="0.4">
      <c r="A7" s="35" t="s">
        <v>158</v>
      </c>
      <c r="B7" s="39"/>
      <c r="C7" s="40"/>
      <c r="D7" s="41" t="s">
        <v>5</v>
      </c>
      <c r="E7" s="33"/>
    </row>
    <row r="8" spans="1:5" x14ac:dyDescent="0.4">
      <c r="A8" s="35" t="s">
        <v>158</v>
      </c>
      <c r="B8" s="36"/>
      <c r="C8" s="37" t="s">
        <v>149</v>
      </c>
      <c r="D8" s="38" t="s">
        <v>36</v>
      </c>
      <c r="E8" s="33"/>
    </row>
    <row r="9" spans="1:5" x14ac:dyDescent="0.4">
      <c r="A9" s="35" t="s">
        <v>158</v>
      </c>
      <c r="B9" s="39"/>
      <c r="C9" s="40"/>
      <c r="D9" s="41" t="s">
        <v>37</v>
      </c>
      <c r="E9" s="33"/>
    </row>
    <row r="10" spans="1:5" x14ac:dyDescent="0.4">
      <c r="A10" s="35" t="s">
        <v>158</v>
      </c>
      <c r="B10" s="33"/>
      <c r="C10" s="33" t="s">
        <v>176</v>
      </c>
      <c r="D10" s="38" t="s">
        <v>189</v>
      </c>
      <c r="E10" s="33"/>
    </row>
    <row r="11" spans="1:5" x14ac:dyDescent="0.4">
      <c r="A11" s="35" t="s">
        <v>158</v>
      </c>
      <c r="B11" s="33"/>
      <c r="C11" s="33"/>
      <c r="D11" s="38" t="s">
        <v>190</v>
      </c>
      <c r="E11" s="33"/>
    </row>
    <row r="12" spans="1:5" x14ac:dyDescent="0.4">
      <c r="A12" s="35" t="s">
        <v>158</v>
      </c>
      <c r="B12" s="33"/>
      <c r="C12" s="33" t="s">
        <v>177</v>
      </c>
      <c r="D12" s="38" t="s">
        <v>191</v>
      </c>
      <c r="E12" s="33"/>
    </row>
    <row r="13" spans="1:5" x14ac:dyDescent="0.4">
      <c r="A13" s="35" t="s">
        <v>158</v>
      </c>
      <c r="B13" s="33"/>
      <c r="C13" s="33"/>
      <c r="D13" s="38" t="s">
        <v>192</v>
      </c>
      <c r="E13" s="33"/>
    </row>
    <row r="14" spans="1:5" x14ac:dyDescent="0.4">
      <c r="A14" s="35" t="s">
        <v>158</v>
      </c>
      <c r="B14" s="36"/>
      <c r="C14" s="37" t="s">
        <v>150</v>
      </c>
      <c r="D14" s="38" t="s">
        <v>38</v>
      </c>
      <c r="E14" s="33"/>
    </row>
    <row r="15" spans="1:5" x14ac:dyDescent="0.4">
      <c r="A15" s="35" t="s">
        <v>158</v>
      </c>
      <c r="B15" s="36"/>
      <c r="C15" s="37"/>
      <c r="D15" s="38" t="s">
        <v>39</v>
      </c>
      <c r="E15" s="33"/>
    </row>
    <row r="16" spans="1:5" x14ac:dyDescent="0.4">
      <c r="A16" s="35" t="s">
        <v>158</v>
      </c>
      <c r="B16" s="39"/>
      <c r="C16" s="40"/>
      <c r="D16" s="41" t="s">
        <v>40</v>
      </c>
      <c r="E16" s="33"/>
    </row>
    <row r="17" spans="1:5" x14ac:dyDescent="0.4">
      <c r="A17" s="35" t="s">
        <v>158</v>
      </c>
      <c r="B17" s="36"/>
      <c r="C17" s="37" t="s">
        <v>153</v>
      </c>
      <c r="D17" s="38" t="s">
        <v>41</v>
      </c>
      <c r="E17" s="33"/>
    </row>
    <row r="18" spans="1:5" x14ac:dyDescent="0.4">
      <c r="A18" s="35" t="s">
        <v>158</v>
      </c>
      <c r="B18" s="36"/>
      <c r="C18" s="37"/>
      <c r="D18" s="38" t="s">
        <v>42</v>
      </c>
      <c r="E18" s="33"/>
    </row>
    <row r="19" spans="1:5" x14ac:dyDescent="0.4">
      <c r="A19" s="35" t="s">
        <v>158</v>
      </c>
      <c r="B19" s="36"/>
      <c r="C19" s="37"/>
      <c r="D19" s="38" t="s">
        <v>43</v>
      </c>
      <c r="E19" s="33"/>
    </row>
    <row r="20" spans="1:5" x14ac:dyDescent="0.4">
      <c r="A20" s="35" t="s">
        <v>158</v>
      </c>
      <c r="B20" s="36"/>
      <c r="C20" s="37"/>
      <c r="D20" s="38" t="s">
        <v>44</v>
      </c>
      <c r="E20" s="33"/>
    </row>
    <row r="21" spans="1:5" x14ac:dyDescent="0.4">
      <c r="A21" s="35" t="s">
        <v>158</v>
      </c>
      <c r="B21" s="36"/>
      <c r="C21" s="37"/>
      <c r="D21" s="38" t="s">
        <v>45</v>
      </c>
      <c r="E21" s="33"/>
    </row>
    <row r="22" spans="1:5" x14ac:dyDescent="0.4">
      <c r="A22" s="35" t="s">
        <v>158</v>
      </c>
      <c r="B22" s="36"/>
      <c r="C22" s="37"/>
      <c r="D22" s="38" t="s">
        <v>46</v>
      </c>
      <c r="E22" s="33"/>
    </row>
    <row r="23" spans="1:5" x14ac:dyDescent="0.4">
      <c r="A23" s="35" t="s">
        <v>158</v>
      </c>
      <c r="B23" s="36"/>
      <c r="C23" s="37"/>
      <c r="D23" s="38" t="s">
        <v>47</v>
      </c>
      <c r="E23" s="33"/>
    </row>
    <row r="24" spans="1:5" x14ac:dyDescent="0.4">
      <c r="A24" s="35" t="s">
        <v>158</v>
      </c>
      <c r="B24" s="39"/>
      <c r="C24" s="40"/>
      <c r="D24" s="41" t="s">
        <v>48</v>
      </c>
      <c r="E24" s="33"/>
    </row>
    <row r="25" spans="1:5" x14ac:dyDescent="0.4">
      <c r="A25" s="35" t="s">
        <v>158</v>
      </c>
      <c r="B25" s="36"/>
      <c r="C25" s="37" t="s">
        <v>151</v>
      </c>
      <c r="D25" s="38" t="s">
        <v>185</v>
      </c>
      <c r="E25" s="33"/>
    </row>
    <row r="26" spans="1:5" x14ac:dyDescent="0.4">
      <c r="A26" s="35" t="s">
        <v>158</v>
      </c>
      <c r="B26" s="39"/>
      <c r="C26" s="40"/>
      <c r="D26" s="41" t="s">
        <v>55</v>
      </c>
      <c r="E26" s="33"/>
    </row>
    <row r="27" spans="1:5" x14ac:dyDescent="0.4">
      <c r="A27" s="35" t="s">
        <v>158</v>
      </c>
      <c r="B27" s="36"/>
      <c r="C27" s="37" t="s">
        <v>152</v>
      </c>
      <c r="D27" s="38" t="s">
        <v>50</v>
      </c>
      <c r="E27" s="33"/>
    </row>
    <row r="28" spans="1:5" x14ac:dyDescent="0.4">
      <c r="A28" s="35" t="s">
        <v>158</v>
      </c>
      <c r="B28" s="36"/>
      <c r="C28" s="37"/>
      <c r="D28" s="38" t="s">
        <v>51</v>
      </c>
      <c r="E28" s="33"/>
    </row>
    <row r="29" spans="1:5" x14ac:dyDescent="0.4">
      <c r="A29" s="35" t="s">
        <v>158</v>
      </c>
      <c r="B29" s="36"/>
      <c r="C29" s="37"/>
      <c r="D29" s="38" t="s">
        <v>52</v>
      </c>
      <c r="E29" s="33"/>
    </row>
    <row r="30" spans="1:5" x14ac:dyDescent="0.4">
      <c r="A30" s="35" t="s">
        <v>158</v>
      </c>
      <c r="B30" s="36"/>
      <c r="C30" s="37"/>
      <c r="D30" s="38" t="s">
        <v>53</v>
      </c>
      <c r="E30" s="33"/>
    </row>
    <row r="31" spans="1:5" x14ac:dyDescent="0.4">
      <c r="A31" s="42" t="s">
        <v>158</v>
      </c>
      <c r="B31" s="39"/>
      <c r="C31" s="40"/>
      <c r="D31" s="41" t="s">
        <v>54</v>
      </c>
      <c r="E31" s="33"/>
    </row>
    <row r="32" spans="1:5" x14ac:dyDescent="0.4">
      <c r="A32" s="48" t="s">
        <v>237</v>
      </c>
      <c r="B32" s="44" t="s">
        <v>238</v>
      </c>
      <c r="C32" s="43" t="s">
        <v>247</v>
      </c>
      <c r="D32" s="43" t="s">
        <v>65</v>
      </c>
      <c r="E32" s="43"/>
    </row>
    <row r="33" spans="1:5" x14ac:dyDescent="0.4">
      <c r="A33" s="49" t="s">
        <v>237</v>
      </c>
      <c r="B33" s="44" t="s">
        <v>238</v>
      </c>
      <c r="C33" s="43"/>
      <c r="D33" s="43" t="s">
        <v>66</v>
      </c>
      <c r="E33" s="43"/>
    </row>
    <row r="34" spans="1:5" x14ac:dyDescent="0.4">
      <c r="A34" s="49" t="s">
        <v>237</v>
      </c>
      <c r="B34" s="44" t="s">
        <v>238</v>
      </c>
      <c r="C34" s="43"/>
      <c r="D34" s="43" t="s">
        <v>67</v>
      </c>
      <c r="E34" s="43"/>
    </row>
    <row r="35" spans="1:5" x14ac:dyDescent="0.4">
      <c r="A35" s="50" t="s">
        <v>237</v>
      </c>
      <c r="B35" s="47" t="s">
        <v>238</v>
      </c>
      <c r="C35" s="46"/>
      <c r="D35" s="46" t="s">
        <v>68</v>
      </c>
      <c r="E35" s="46"/>
    </row>
    <row r="36" spans="1:5" x14ac:dyDescent="0.4">
      <c r="A36" s="49" t="s">
        <v>237</v>
      </c>
      <c r="B36" s="44" t="s">
        <v>240</v>
      </c>
      <c r="C36" s="43" t="s">
        <v>248</v>
      </c>
      <c r="D36" s="88" t="s">
        <v>286</v>
      </c>
      <c r="E36" s="43" t="s">
        <v>57</v>
      </c>
    </row>
    <row r="37" spans="1:5" x14ac:dyDescent="0.4">
      <c r="A37" s="49" t="s">
        <v>237</v>
      </c>
      <c r="B37" s="44" t="s">
        <v>239</v>
      </c>
      <c r="C37" s="43" t="s">
        <v>253</v>
      </c>
      <c r="D37" s="88" t="s">
        <v>284</v>
      </c>
      <c r="E37" s="43" t="s">
        <v>70</v>
      </c>
    </row>
    <row r="38" spans="1:5" x14ac:dyDescent="0.4">
      <c r="A38" s="49" t="s">
        <v>237</v>
      </c>
      <c r="B38" s="44" t="s">
        <v>239</v>
      </c>
      <c r="C38" s="43"/>
      <c r="D38" s="88" t="s">
        <v>282</v>
      </c>
      <c r="E38" s="43" t="s">
        <v>70</v>
      </c>
    </row>
    <row r="39" spans="1:5" x14ac:dyDescent="0.4">
      <c r="A39" s="49" t="s">
        <v>237</v>
      </c>
      <c r="B39" s="44" t="s">
        <v>239</v>
      </c>
      <c r="C39" s="43" t="s">
        <v>254</v>
      </c>
      <c r="D39" s="88" t="s">
        <v>288</v>
      </c>
      <c r="E39" s="43" t="s">
        <v>71</v>
      </c>
    </row>
    <row r="40" spans="1:5" x14ac:dyDescent="0.4">
      <c r="A40" s="49" t="s">
        <v>237</v>
      </c>
      <c r="B40" s="44" t="s">
        <v>239</v>
      </c>
      <c r="C40" s="43"/>
      <c r="D40" s="88" t="s">
        <v>290</v>
      </c>
      <c r="E40" s="43" t="s">
        <v>71</v>
      </c>
    </row>
    <row r="41" spans="1:5" x14ac:dyDescent="0.4">
      <c r="A41" s="49" t="s">
        <v>237</v>
      </c>
      <c r="B41" s="44" t="s">
        <v>239</v>
      </c>
      <c r="C41" s="43" t="s">
        <v>271</v>
      </c>
      <c r="D41" s="88" t="s">
        <v>292</v>
      </c>
      <c r="E41" s="43" t="s">
        <v>71</v>
      </c>
    </row>
    <row r="42" spans="1:5" x14ac:dyDescent="0.4">
      <c r="A42" s="50" t="s">
        <v>237</v>
      </c>
      <c r="B42" s="47" t="s">
        <v>239</v>
      </c>
      <c r="C42" s="46"/>
      <c r="D42" s="89" t="s">
        <v>279</v>
      </c>
      <c r="E42" s="46" t="s">
        <v>71</v>
      </c>
    </row>
    <row r="43" spans="1:5" x14ac:dyDescent="0.4">
      <c r="A43" s="49" t="s">
        <v>237</v>
      </c>
      <c r="B43" s="44" t="s">
        <v>242</v>
      </c>
      <c r="C43" s="43" t="s">
        <v>269</v>
      </c>
      <c r="D43" s="43" t="s">
        <v>73</v>
      </c>
      <c r="E43" s="43"/>
    </row>
    <row r="44" spans="1:5" x14ac:dyDescent="0.4">
      <c r="A44" s="49" t="s">
        <v>237</v>
      </c>
      <c r="B44" s="44" t="s">
        <v>241</v>
      </c>
      <c r="C44" s="43"/>
      <c r="D44" s="43" t="s">
        <v>352</v>
      </c>
      <c r="E44" s="43"/>
    </row>
    <row r="45" spans="1:5" x14ac:dyDescent="0.4">
      <c r="A45" s="49" t="s">
        <v>237</v>
      </c>
      <c r="B45" s="44" t="s">
        <v>241</v>
      </c>
      <c r="C45" s="43"/>
      <c r="D45" s="43" t="s">
        <v>354</v>
      </c>
      <c r="E45" s="43"/>
    </row>
    <row r="46" spans="1:5" x14ac:dyDescent="0.4">
      <c r="A46" s="49" t="s">
        <v>237</v>
      </c>
      <c r="B46" s="44" t="s">
        <v>241</v>
      </c>
      <c r="C46" s="43" t="s">
        <v>270</v>
      </c>
      <c r="D46" s="43" t="s">
        <v>73</v>
      </c>
      <c r="E46" s="43"/>
    </row>
    <row r="47" spans="1:5" x14ac:dyDescent="0.4">
      <c r="A47" s="49" t="s">
        <v>237</v>
      </c>
      <c r="B47" s="44" t="s">
        <v>241</v>
      </c>
      <c r="C47" s="43"/>
      <c r="D47" s="43" t="s">
        <v>352</v>
      </c>
      <c r="E47" s="43"/>
    </row>
    <row r="48" spans="1:5" x14ac:dyDescent="0.4">
      <c r="A48" s="50" t="s">
        <v>237</v>
      </c>
      <c r="B48" s="47" t="s">
        <v>241</v>
      </c>
      <c r="C48" s="46"/>
      <c r="D48" s="46" t="s">
        <v>354</v>
      </c>
      <c r="E48" s="46"/>
    </row>
    <row r="49" spans="1:5" x14ac:dyDescent="0.4">
      <c r="A49" s="49" t="s">
        <v>237</v>
      </c>
      <c r="B49" s="44" t="s">
        <v>244</v>
      </c>
      <c r="C49" s="43" t="s">
        <v>249</v>
      </c>
      <c r="D49" s="43" t="s">
        <v>73</v>
      </c>
      <c r="E49" s="43"/>
    </row>
    <row r="50" spans="1:5" x14ac:dyDescent="0.4">
      <c r="A50" s="50" t="s">
        <v>237</v>
      </c>
      <c r="B50" s="47" t="s">
        <v>243</v>
      </c>
      <c r="C50" s="46"/>
      <c r="D50" s="46" t="s">
        <v>74</v>
      </c>
      <c r="E50" s="46"/>
    </row>
    <row r="51" spans="1:5" x14ac:dyDescent="0.4">
      <c r="A51" s="49" t="s">
        <v>237</v>
      </c>
      <c r="B51" s="44" t="s">
        <v>246</v>
      </c>
      <c r="C51" s="43" t="s">
        <v>250</v>
      </c>
      <c r="D51" s="43" t="s">
        <v>73</v>
      </c>
      <c r="E51" s="43"/>
    </row>
    <row r="52" spans="1:5" x14ac:dyDescent="0.4">
      <c r="A52" s="49" t="s">
        <v>237</v>
      </c>
      <c r="B52" s="47" t="s">
        <v>245</v>
      </c>
      <c r="C52" s="46"/>
      <c r="D52" s="46" t="s">
        <v>76</v>
      </c>
      <c r="E52" s="46"/>
    </row>
    <row r="53" spans="1:5" x14ac:dyDescent="0.4">
      <c r="A53" s="49" t="s">
        <v>237</v>
      </c>
      <c r="B53" s="44" t="s">
        <v>245</v>
      </c>
      <c r="C53" s="43" t="s">
        <v>251</v>
      </c>
      <c r="D53" s="85">
        <v>10</v>
      </c>
      <c r="E53" s="43" t="s">
        <v>78</v>
      </c>
    </row>
    <row r="54" spans="1:5" x14ac:dyDescent="0.4">
      <c r="A54" s="49" t="s">
        <v>237</v>
      </c>
      <c r="B54" s="44" t="s">
        <v>245</v>
      </c>
      <c r="C54" s="43"/>
      <c r="D54" s="85">
        <v>20</v>
      </c>
      <c r="E54" s="43" t="s">
        <v>78</v>
      </c>
    </row>
    <row r="55" spans="1:5" x14ac:dyDescent="0.4">
      <c r="A55" s="49" t="s">
        <v>237</v>
      </c>
      <c r="B55" s="44" t="s">
        <v>245</v>
      </c>
      <c r="C55" s="43"/>
      <c r="D55" s="85">
        <v>30</v>
      </c>
      <c r="E55" s="43" t="s">
        <v>78</v>
      </c>
    </row>
    <row r="56" spans="1:5" x14ac:dyDescent="0.4">
      <c r="A56" s="49" t="s">
        <v>237</v>
      </c>
      <c r="B56" s="44" t="s">
        <v>245</v>
      </c>
      <c r="C56" s="43"/>
      <c r="D56" s="85">
        <v>40</v>
      </c>
      <c r="E56" s="43" t="s">
        <v>78</v>
      </c>
    </row>
    <row r="57" spans="1:5" x14ac:dyDescent="0.4">
      <c r="A57" s="49" t="s">
        <v>237</v>
      </c>
      <c r="B57" s="44" t="s">
        <v>245</v>
      </c>
      <c r="C57" s="43"/>
      <c r="D57" s="85">
        <v>50</v>
      </c>
      <c r="E57" s="43" t="s">
        <v>78</v>
      </c>
    </row>
    <row r="58" spans="1:5" x14ac:dyDescent="0.4">
      <c r="A58" s="49" t="s">
        <v>237</v>
      </c>
      <c r="B58" s="44" t="s">
        <v>245</v>
      </c>
      <c r="C58" s="43"/>
      <c r="D58" s="85">
        <v>60</v>
      </c>
      <c r="E58" s="43" t="s">
        <v>78</v>
      </c>
    </row>
    <row r="59" spans="1:5" x14ac:dyDescent="0.4">
      <c r="A59" s="49" t="s">
        <v>237</v>
      </c>
      <c r="B59" s="44" t="s">
        <v>245</v>
      </c>
      <c r="C59" s="43"/>
      <c r="D59" s="85">
        <v>70</v>
      </c>
      <c r="E59" s="43" t="s">
        <v>78</v>
      </c>
    </row>
    <row r="60" spans="1:5" x14ac:dyDescent="0.4">
      <c r="A60" s="49" t="s">
        <v>237</v>
      </c>
      <c r="B60" s="44" t="s">
        <v>245</v>
      </c>
      <c r="C60" s="43"/>
      <c r="D60" s="85">
        <v>80</v>
      </c>
      <c r="E60" s="43" t="s">
        <v>78</v>
      </c>
    </row>
    <row r="61" spans="1:5" x14ac:dyDescent="0.4">
      <c r="A61" s="49" t="s">
        <v>237</v>
      </c>
      <c r="B61" s="44" t="s">
        <v>245</v>
      </c>
      <c r="C61" s="43"/>
      <c r="D61" s="85">
        <v>90</v>
      </c>
      <c r="E61" s="43" t="s">
        <v>78</v>
      </c>
    </row>
    <row r="62" spans="1:5" x14ac:dyDescent="0.4">
      <c r="A62" s="49" t="s">
        <v>237</v>
      </c>
      <c r="B62" s="47" t="s">
        <v>245</v>
      </c>
      <c r="C62" s="46"/>
      <c r="D62" s="86">
        <v>100</v>
      </c>
      <c r="E62" s="46" t="s">
        <v>78</v>
      </c>
    </row>
    <row r="63" spans="1:5" x14ac:dyDescent="0.4">
      <c r="A63" s="49" t="s">
        <v>237</v>
      </c>
      <c r="B63" s="44" t="s">
        <v>245</v>
      </c>
      <c r="C63" s="43" t="s">
        <v>252</v>
      </c>
      <c r="D63" s="43" t="s">
        <v>80</v>
      </c>
      <c r="E63" s="43"/>
    </row>
    <row r="64" spans="1:5" x14ac:dyDescent="0.4">
      <c r="A64" s="50" t="s">
        <v>237</v>
      </c>
      <c r="B64" s="47" t="s">
        <v>245</v>
      </c>
      <c r="C64" s="46"/>
      <c r="D64" s="46" t="s">
        <v>81</v>
      </c>
      <c r="E64" s="46"/>
    </row>
    <row r="65" spans="1:5" x14ac:dyDescent="0.4">
      <c r="A65" s="91" t="s">
        <v>320</v>
      </c>
      <c r="B65" s="92" t="s">
        <v>294</v>
      </c>
      <c r="C65" s="93" t="s">
        <v>91</v>
      </c>
      <c r="D65" s="94" t="s">
        <v>92</v>
      </c>
      <c r="E65" s="91"/>
    </row>
    <row r="66" spans="1:5" x14ac:dyDescent="0.4">
      <c r="A66" s="91" t="s">
        <v>319</v>
      </c>
      <c r="B66" s="92"/>
      <c r="C66" s="93"/>
      <c r="D66" s="94" t="s">
        <v>93</v>
      </c>
      <c r="E66" s="91"/>
    </row>
    <row r="67" spans="1:5" x14ac:dyDescent="0.4">
      <c r="A67" s="91" t="s">
        <v>319</v>
      </c>
      <c r="B67" s="102"/>
      <c r="C67" s="103"/>
      <c r="D67" s="104" t="s">
        <v>94</v>
      </c>
      <c r="E67" s="103"/>
    </row>
    <row r="68" spans="1:5" x14ac:dyDescent="0.4">
      <c r="A68" s="91" t="s">
        <v>319</v>
      </c>
      <c r="B68" s="95" t="s">
        <v>295</v>
      </c>
      <c r="C68" s="93" t="s">
        <v>390</v>
      </c>
      <c r="D68" s="96" t="s">
        <v>355</v>
      </c>
      <c r="E68" s="91"/>
    </row>
    <row r="69" spans="1:5" x14ac:dyDescent="0.4">
      <c r="A69" s="91" t="s">
        <v>319</v>
      </c>
      <c r="B69" s="95"/>
      <c r="C69" s="93"/>
      <c r="D69" s="96" t="s">
        <v>356</v>
      </c>
      <c r="E69" s="91"/>
    </row>
    <row r="70" spans="1:5" x14ac:dyDescent="0.4">
      <c r="A70" s="91" t="s">
        <v>319</v>
      </c>
      <c r="B70" s="95"/>
      <c r="C70" s="93"/>
      <c r="D70" s="96" t="s">
        <v>357</v>
      </c>
      <c r="E70" s="91"/>
    </row>
    <row r="71" spans="1:5" x14ac:dyDescent="0.4">
      <c r="A71" s="91" t="s">
        <v>319</v>
      </c>
      <c r="B71" s="95"/>
      <c r="C71" s="93"/>
      <c r="D71" s="96" t="s">
        <v>358</v>
      </c>
      <c r="E71" s="91"/>
    </row>
    <row r="72" spans="1:5" x14ac:dyDescent="0.4">
      <c r="A72" s="91" t="s">
        <v>319</v>
      </c>
      <c r="B72" s="95"/>
      <c r="C72" s="93"/>
      <c r="D72" s="96" t="s">
        <v>359</v>
      </c>
      <c r="E72" s="91"/>
    </row>
    <row r="73" spans="1:5" x14ac:dyDescent="0.4">
      <c r="A73" s="91" t="s">
        <v>319</v>
      </c>
      <c r="B73" s="95"/>
      <c r="C73" s="93"/>
      <c r="D73" s="96" t="s">
        <v>360</v>
      </c>
      <c r="E73" s="91"/>
    </row>
    <row r="74" spans="1:5" x14ac:dyDescent="0.4">
      <c r="A74" s="91" t="s">
        <v>319</v>
      </c>
      <c r="B74" s="95"/>
      <c r="C74" s="93"/>
      <c r="D74" s="96" t="s">
        <v>361</v>
      </c>
      <c r="E74" s="91"/>
    </row>
    <row r="75" spans="1:5" x14ac:dyDescent="0.4">
      <c r="A75" s="91" t="s">
        <v>319</v>
      </c>
      <c r="B75" s="95"/>
      <c r="C75" s="93"/>
      <c r="D75" s="96" t="s">
        <v>362</v>
      </c>
      <c r="E75" s="91"/>
    </row>
    <row r="76" spans="1:5" x14ac:dyDescent="0.4">
      <c r="A76" s="91" t="s">
        <v>319</v>
      </c>
      <c r="B76" s="95"/>
      <c r="C76" s="93"/>
      <c r="D76" s="96" t="s">
        <v>363</v>
      </c>
      <c r="E76" s="91"/>
    </row>
    <row r="77" spans="1:5" x14ac:dyDescent="0.4">
      <c r="A77" s="91" t="s">
        <v>319</v>
      </c>
      <c r="B77" s="95"/>
      <c r="C77" s="93"/>
      <c r="D77" s="96" t="s">
        <v>364</v>
      </c>
      <c r="E77" s="91"/>
    </row>
    <row r="78" spans="1:5" x14ac:dyDescent="0.4">
      <c r="A78" s="91" t="s">
        <v>319</v>
      </c>
      <c r="B78" s="95"/>
      <c r="C78" s="93"/>
      <c r="D78" s="96" t="s">
        <v>365</v>
      </c>
      <c r="E78" s="91"/>
    </row>
    <row r="79" spans="1:5" x14ac:dyDescent="0.4">
      <c r="A79" s="91" t="s">
        <v>319</v>
      </c>
      <c r="B79" s="92"/>
      <c r="C79" s="93"/>
      <c r="D79" s="94" t="s">
        <v>366</v>
      </c>
      <c r="E79" s="93"/>
    </row>
    <row r="80" spans="1:5" x14ac:dyDescent="0.4">
      <c r="A80" s="91" t="s">
        <v>319</v>
      </c>
      <c r="B80" s="95" t="s">
        <v>295</v>
      </c>
      <c r="C80" s="93" t="s">
        <v>391</v>
      </c>
      <c r="D80" s="96" t="s">
        <v>367</v>
      </c>
      <c r="E80" s="91"/>
    </row>
    <row r="81" spans="1:5" x14ac:dyDescent="0.4">
      <c r="A81" s="91" t="s">
        <v>319</v>
      </c>
      <c r="B81" s="95"/>
      <c r="C81" s="93"/>
      <c r="D81" s="96" t="s">
        <v>368</v>
      </c>
      <c r="E81" s="91"/>
    </row>
    <row r="82" spans="1:5" x14ac:dyDescent="0.4">
      <c r="A82" s="91" t="s">
        <v>319</v>
      </c>
      <c r="B82" s="95" t="s">
        <v>295</v>
      </c>
      <c r="C82" s="93" t="s">
        <v>392</v>
      </c>
      <c r="D82" s="107" t="s">
        <v>340</v>
      </c>
      <c r="E82" s="91" t="s">
        <v>132</v>
      </c>
    </row>
    <row r="83" spans="1:5" x14ac:dyDescent="0.4">
      <c r="A83" s="91" t="s">
        <v>319</v>
      </c>
      <c r="B83" s="95" t="s">
        <v>295</v>
      </c>
      <c r="C83" s="93" t="s">
        <v>393</v>
      </c>
      <c r="D83" s="96" t="s">
        <v>321</v>
      </c>
      <c r="E83" s="91"/>
    </row>
    <row r="84" spans="1:5" x14ac:dyDescent="0.4">
      <c r="A84" s="91" t="s">
        <v>319</v>
      </c>
      <c r="B84" s="95"/>
      <c r="C84" s="93"/>
      <c r="D84" s="96" t="s">
        <v>322</v>
      </c>
      <c r="E84" s="91"/>
    </row>
    <row r="85" spans="1:5" x14ac:dyDescent="0.4">
      <c r="A85" s="91" t="s">
        <v>319</v>
      </c>
      <c r="B85" s="95"/>
      <c r="C85" s="93"/>
      <c r="D85" s="96" t="s">
        <v>323</v>
      </c>
      <c r="E85" s="91"/>
    </row>
    <row r="86" spans="1:5" x14ac:dyDescent="0.4">
      <c r="A86" s="91" t="s">
        <v>319</v>
      </c>
      <c r="B86" s="95" t="s">
        <v>295</v>
      </c>
      <c r="C86" s="93" t="s">
        <v>394</v>
      </c>
      <c r="D86" s="96" t="s">
        <v>324</v>
      </c>
      <c r="E86" s="91"/>
    </row>
    <row r="87" spans="1:5" x14ac:dyDescent="0.4">
      <c r="A87" s="91" t="s">
        <v>319</v>
      </c>
      <c r="B87" s="95"/>
      <c r="C87" s="93"/>
      <c r="D87" s="94" t="s">
        <v>325</v>
      </c>
      <c r="E87" s="93"/>
    </row>
    <row r="88" spans="1:5" x14ac:dyDescent="0.4">
      <c r="A88" s="91" t="s">
        <v>319</v>
      </c>
      <c r="B88" s="95" t="s">
        <v>295</v>
      </c>
      <c r="C88" s="93" t="s">
        <v>395</v>
      </c>
      <c r="D88" s="96" t="s">
        <v>367</v>
      </c>
      <c r="E88" s="91"/>
    </row>
    <row r="89" spans="1:5" x14ac:dyDescent="0.4">
      <c r="A89" s="91" t="s">
        <v>319</v>
      </c>
      <c r="B89" s="95"/>
      <c r="C89" s="93"/>
      <c r="D89" s="96" t="s">
        <v>368</v>
      </c>
      <c r="E89" s="91"/>
    </row>
    <row r="90" spans="1:5" x14ac:dyDescent="0.4">
      <c r="A90" s="91" t="s">
        <v>319</v>
      </c>
      <c r="B90" s="95" t="s">
        <v>295</v>
      </c>
      <c r="C90" s="93" t="s">
        <v>396</v>
      </c>
      <c r="D90" s="105" t="s">
        <v>328</v>
      </c>
      <c r="E90" s="91" t="s">
        <v>132</v>
      </c>
    </row>
    <row r="91" spans="1:5" x14ac:dyDescent="0.4">
      <c r="A91" s="91" t="s">
        <v>319</v>
      </c>
      <c r="B91" s="95" t="s">
        <v>295</v>
      </c>
      <c r="C91" s="93" t="s">
        <v>397</v>
      </c>
      <c r="D91" s="96" t="s">
        <v>367</v>
      </c>
      <c r="E91" s="91"/>
    </row>
    <row r="92" spans="1:5" x14ac:dyDescent="0.4">
      <c r="A92" s="91" t="s">
        <v>319</v>
      </c>
      <c r="B92" s="95"/>
      <c r="C92" s="93"/>
      <c r="D92" s="96" t="s">
        <v>368</v>
      </c>
      <c r="E92" s="91"/>
    </row>
    <row r="93" spans="1:5" x14ac:dyDescent="0.4">
      <c r="A93" s="91" t="s">
        <v>319</v>
      </c>
      <c r="B93" s="95" t="s">
        <v>295</v>
      </c>
      <c r="C93" s="93" t="s">
        <v>398</v>
      </c>
      <c r="D93" s="105" t="s">
        <v>342</v>
      </c>
      <c r="E93" s="91" t="s">
        <v>132</v>
      </c>
    </row>
    <row r="94" spans="1:5" x14ac:dyDescent="0.4">
      <c r="A94" s="91" t="s">
        <v>319</v>
      </c>
      <c r="B94" s="95"/>
      <c r="C94" s="93"/>
      <c r="D94" s="105" t="s">
        <v>343</v>
      </c>
      <c r="E94" s="91"/>
    </row>
    <row r="95" spans="1:5" x14ac:dyDescent="0.4">
      <c r="A95" s="91" t="s">
        <v>319</v>
      </c>
      <c r="B95" s="95"/>
      <c r="C95" s="93"/>
      <c r="D95" s="105" t="s">
        <v>344</v>
      </c>
      <c r="E95" s="91"/>
    </row>
    <row r="96" spans="1:5" x14ac:dyDescent="0.4">
      <c r="A96" s="91" t="s">
        <v>319</v>
      </c>
      <c r="B96" s="95"/>
      <c r="C96" s="93"/>
      <c r="D96" s="105" t="s">
        <v>328</v>
      </c>
      <c r="E96" s="91"/>
    </row>
    <row r="97" spans="1:5" x14ac:dyDescent="0.4">
      <c r="A97" s="91" t="s">
        <v>319</v>
      </c>
      <c r="B97" s="95"/>
      <c r="C97" s="93"/>
      <c r="D97" s="105" t="s">
        <v>345</v>
      </c>
      <c r="E97" s="91"/>
    </row>
    <row r="98" spans="1:5" x14ac:dyDescent="0.4">
      <c r="A98" s="91" t="s">
        <v>319</v>
      </c>
      <c r="B98" s="95"/>
      <c r="C98" s="93"/>
      <c r="D98" s="105" t="s">
        <v>346</v>
      </c>
      <c r="E98" s="91"/>
    </row>
    <row r="99" spans="1:5" x14ac:dyDescent="0.4">
      <c r="A99" s="91" t="s">
        <v>319</v>
      </c>
      <c r="B99" s="95"/>
      <c r="C99" s="93"/>
      <c r="D99" s="105" t="s">
        <v>347</v>
      </c>
      <c r="E99" s="91"/>
    </row>
    <row r="100" spans="1:5" x14ac:dyDescent="0.4">
      <c r="A100" s="91" t="s">
        <v>319</v>
      </c>
      <c r="B100" s="95"/>
      <c r="C100" s="93"/>
      <c r="D100" s="105" t="s">
        <v>348</v>
      </c>
      <c r="E100" s="91"/>
    </row>
    <row r="101" spans="1:5" x14ac:dyDescent="0.4">
      <c r="A101" s="91" t="s">
        <v>319</v>
      </c>
      <c r="B101" s="95"/>
      <c r="C101" s="93"/>
      <c r="D101" s="105" t="s">
        <v>349</v>
      </c>
      <c r="E101" s="91"/>
    </row>
    <row r="102" spans="1:5" x14ac:dyDescent="0.4">
      <c r="A102" s="91" t="s">
        <v>319</v>
      </c>
      <c r="B102" s="95"/>
      <c r="C102" s="93"/>
      <c r="D102" s="105" t="s">
        <v>350</v>
      </c>
      <c r="E102" s="91"/>
    </row>
    <row r="103" spans="1:5" x14ac:dyDescent="0.4">
      <c r="A103" s="91" t="s">
        <v>319</v>
      </c>
      <c r="B103" s="95" t="s">
        <v>295</v>
      </c>
      <c r="C103" s="93" t="s">
        <v>429</v>
      </c>
      <c r="D103" s="106" t="s">
        <v>329</v>
      </c>
      <c r="E103" s="91" t="s">
        <v>78</v>
      </c>
    </row>
    <row r="104" spans="1:5" x14ac:dyDescent="0.4">
      <c r="A104" s="91" t="s">
        <v>319</v>
      </c>
      <c r="B104" s="95"/>
      <c r="C104" s="93"/>
      <c r="D104" s="106" t="s">
        <v>330</v>
      </c>
      <c r="E104" s="91"/>
    </row>
    <row r="105" spans="1:5" x14ac:dyDescent="0.4">
      <c r="A105" s="91" t="s">
        <v>319</v>
      </c>
      <c r="B105" s="95"/>
      <c r="C105" s="93"/>
      <c r="D105" s="106" t="s">
        <v>331</v>
      </c>
      <c r="E105" s="91"/>
    </row>
    <row r="106" spans="1:5" x14ac:dyDescent="0.4">
      <c r="A106" s="91" t="s">
        <v>319</v>
      </c>
      <c r="B106" s="95"/>
      <c r="C106" s="93"/>
      <c r="D106" s="106" t="s">
        <v>332</v>
      </c>
      <c r="E106" s="91"/>
    </row>
    <row r="107" spans="1:5" x14ac:dyDescent="0.4">
      <c r="A107" s="91" t="s">
        <v>319</v>
      </c>
      <c r="B107" s="95"/>
      <c r="C107" s="93"/>
      <c r="D107" s="106" t="s">
        <v>333</v>
      </c>
      <c r="E107" s="91"/>
    </row>
    <row r="108" spans="1:5" x14ac:dyDescent="0.4">
      <c r="A108" s="91" t="s">
        <v>319</v>
      </c>
      <c r="B108" s="95"/>
      <c r="C108" s="93"/>
      <c r="D108" s="106" t="s">
        <v>334</v>
      </c>
      <c r="E108" s="91"/>
    </row>
    <row r="109" spans="1:5" x14ac:dyDescent="0.4">
      <c r="A109" s="91" t="s">
        <v>319</v>
      </c>
      <c r="B109" s="95"/>
      <c r="C109" s="93"/>
      <c r="D109" s="106" t="s">
        <v>335</v>
      </c>
      <c r="E109" s="91"/>
    </row>
    <row r="110" spans="1:5" x14ac:dyDescent="0.4">
      <c r="A110" s="91" t="s">
        <v>319</v>
      </c>
      <c r="B110" s="95"/>
      <c r="C110" s="93"/>
      <c r="D110" s="106" t="s">
        <v>336</v>
      </c>
      <c r="E110" s="91"/>
    </row>
    <row r="111" spans="1:5" x14ac:dyDescent="0.4">
      <c r="A111" s="91" t="s">
        <v>319</v>
      </c>
      <c r="B111" s="95"/>
      <c r="C111" s="93"/>
      <c r="D111" s="106" t="s">
        <v>337</v>
      </c>
      <c r="E111" s="91"/>
    </row>
    <row r="112" spans="1:5" x14ac:dyDescent="0.4">
      <c r="A112" s="91" t="s">
        <v>319</v>
      </c>
      <c r="B112" s="95"/>
      <c r="C112" s="93"/>
      <c r="D112" s="106" t="s">
        <v>338</v>
      </c>
      <c r="E112" s="91"/>
    </row>
    <row r="113" spans="1:5" x14ac:dyDescent="0.4">
      <c r="A113" s="91" t="s">
        <v>319</v>
      </c>
      <c r="B113" s="95" t="s">
        <v>295</v>
      </c>
      <c r="C113" s="93" t="s">
        <v>399</v>
      </c>
      <c r="D113" s="96" t="s">
        <v>369</v>
      </c>
      <c r="E113" s="91"/>
    </row>
    <row r="114" spans="1:5" x14ac:dyDescent="0.4">
      <c r="A114" s="91" t="s">
        <v>319</v>
      </c>
      <c r="B114" s="95"/>
      <c r="C114" s="93"/>
      <c r="D114" s="96" t="s">
        <v>370</v>
      </c>
      <c r="E114" s="91"/>
    </row>
    <row r="115" spans="1:5" x14ac:dyDescent="0.4">
      <c r="A115" s="91" t="s">
        <v>319</v>
      </c>
      <c r="B115" s="95" t="s">
        <v>295</v>
      </c>
      <c r="C115" s="93" t="s">
        <v>400</v>
      </c>
      <c r="D115" s="93" t="s">
        <v>371</v>
      </c>
      <c r="E115" s="91"/>
    </row>
    <row r="116" spans="1:5" x14ac:dyDescent="0.4">
      <c r="A116" s="91" t="s">
        <v>319</v>
      </c>
      <c r="B116" s="95"/>
      <c r="C116" s="93"/>
      <c r="D116" s="93" t="s">
        <v>372</v>
      </c>
      <c r="E116" s="91"/>
    </row>
    <row r="117" spans="1:5" x14ac:dyDescent="0.4">
      <c r="A117" s="91" t="s">
        <v>319</v>
      </c>
      <c r="B117" s="95" t="s">
        <v>295</v>
      </c>
      <c r="C117" s="93" t="s">
        <v>401</v>
      </c>
      <c r="D117" s="97">
        <v>12.5</v>
      </c>
      <c r="E117" s="91" t="s">
        <v>131</v>
      </c>
    </row>
    <row r="118" spans="1:5" x14ac:dyDescent="0.4">
      <c r="A118" s="91" t="s">
        <v>319</v>
      </c>
      <c r="B118" s="95" t="s">
        <v>295</v>
      </c>
      <c r="C118" s="93" t="s">
        <v>402</v>
      </c>
      <c r="D118" s="97">
        <v>63.7</v>
      </c>
      <c r="E118" s="91" t="s">
        <v>132</v>
      </c>
    </row>
    <row r="119" spans="1:5" x14ac:dyDescent="0.4">
      <c r="A119" s="91" t="s">
        <v>319</v>
      </c>
      <c r="B119" s="95" t="s">
        <v>295</v>
      </c>
      <c r="C119" s="93" t="s">
        <v>403</v>
      </c>
      <c r="D119" s="98">
        <v>155</v>
      </c>
      <c r="E119" s="91" t="s">
        <v>133</v>
      </c>
    </row>
    <row r="120" spans="1:5" x14ac:dyDescent="0.4">
      <c r="A120" s="91" t="s">
        <v>319</v>
      </c>
      <c r="B120" s="95" t="s">
        <v>295</v>
      </c>
      <c r="C120" s="93" t="s">
        <v>404</v>
      </c>
      <c r="D120" s="98">
        <v>134</v>
      </c>
      <c r="E120" s="91" t="s">
        <v>134</v>
      </c>
    </row>
    <row r="121" spans="1:5" x14ac:dyDescent="0.4">
      <c r="A121" s="91" t="s">
        <v>319</v>
      </c>
      <c r="B121" s="95" t="s">
        <v>295</v>
      </c>
      <c r="C121" s="93" t="s">
        <v>405</v>
      </c>
      <c r="D121" s="93" t="s">
        <v>377</v>
      </c>
      <c r="E121" s="91"/>
    </row>
    <row r="122" spans="1:5" x14ac:dyDescent="0.4">
      <c r="A122" s="91" t="s">
        <v>319</v>
      </c>
      <c r="B122" s="95" t="s">
        <v>296</v>
      </c>
      <c r="C122" s="93" t="s">
        <v>406</v>
      </c>
      <c r="D122" s="94" t="s">
        <v>355</v>
      </c>
      <c r="E122" s="91"/>
    </row>
    <row r="123" spans="1:5" x14ac:dyDescent="0.4">
      <c r="A123" s="91" t="s">
        <v>319</v>
      </c>
      <c r="B123" s="92"/>
      <c r="C123" s="93"/>
      <c r="D123" s="94" t="s">
        <v>356</v>
      </c>
      <c r="E123" s="91"/>
    </row>
    <row r="124" spans="1:5" x14ac:dyDescent="0.4">
      <c r="A124" s="91" t="s">
        <v>319</v>
      </c>
      <c r="B124" s="92"/>
      <c r="C124" s="93"/>
      <c r="D124" s="94" t="s">
        <v>357</v>
      </c>
      <c r="E124" s="91"/>
    </row>
    <row r="125" spans="1:5" x14ac:dyDescent="0.4">
      <c r="A125" s="91" t="s">
        <v>319</v>
      </c>
      <c r="B125" s="92"/>
      <c r="C125" s="93"/>
      <c r="D125" s="94" t="s">
        <v>358</v>
      </c>
      <c r="E125" s="91"/>
    </row>
    <row r="126" spans="1:5" x14ac:dyDescent="0.4">
      <c r="A126" s="91" t="s">
        <v>319</v>
      </c>
      <c r="B126" s="92"/>
      <c r="C126" s="93"/>
      <c r="D126" s="94" t="s">
        <v>359</v>
      </c>
      <c r="E126" s="91"/>
    </row>
    <row r="127" spans="1:5" x14ac:dyDescent="0.4">
      <c r="A127" s="91" t="s">
        <v>319</v>
      </c>
      <c r="B127" s="92"/>
      <c r="C127" s="93"/>
      <c r="D127" s="94" t="s">
        <v>360</v>
      </c>
      <c r="E127" s="91"/>
    </row>
    <row r="128" spans="1:5" x14ac:dyDescent="0.4">
      <c r="A128" s="91" t="s">
        <v>319</v>
      </c>
      <c r="B128" s="92"/>
      <c r="C128" s="93"/>
      <c r="D128" s="94" t="s">
        <v>361</v>
      </c>
      <c r="E128" s="91"/>
    </row>
    <row r="129" spans="1:5" x14ac:dyDescent="0.4">
      <c r="A129" s="91" t="s">
        <v>319</v>
      </c>
      <c r="B129" s="92"/>
      <c r="C129" s="93"/>
      <c r="D129" s="94" t="s">
        <v>362</v>
      </c>
      <c r="E129" s="91"/>
    </row>
    <row r="130" spans="1:5" x14ac:dyDescent="0.4">
      <c r="A130" s="91" t="s">
        <v>319</v>
      </c>
      <c r="B130" s="92"/>
      <c r="C130" s="93"/>
      <c r="D130" s="94" t="s">
        <v>363</v>
      </c>
      <c r="E130" s="91"/>
    </row>
    <row r="131" spans="1:5" x14ac:dyDescent="0.4">
      <c r="A131" s="91" t="s">
        <v>319</v>
      </c>
      <c r="B131" s="92"/>
      <c r="C131" s="93"/>
      <c r="D131" s="94" t="s">
        <v>364</v>
      </c>
      <c r="E131" s="91"/>
    </row>
    <row r="132" spans="1:5" x14ac:dyDescent="0.4">
      <c r="A132" s="91" t="s">
        <v>319</v>
      </c>
      <c r="B132" s="92"/>
      <c r="C132" s="93"/>
      <c r="D132" s="94" t="s">
        <v>365</v>
      </c>
      <c r="E132" s="91"/>
    </row>
    <row r="133" spans="1:5" x14ac:dyDescent="0.4">
      <c r="A133" s="91" t="s">
        <v>319</v>
      </c>
      <c r="B133" s="92"/>
      <c r="C133" s="93"/>
      <c r="D133" s="94" t="s">
        <v>366</v>
      </c>
      <c r="E133" s="91"/>
    </row>
    <row r="134" spans="1:5" x14ac:dyDescent="0.4">
      <c r="A134" s="91" t="s">
        <v>319</v>
      </c>
      <c r="B134" s="92" t="s">
        <v>296</v>
      </c>
      <c r="C134" s="93" t="s">
        <v>407</v>
      </c>
      <c r="D134" s="94" t="s">
        <v>97</v>
      </c>
      <c r="E134" s="91"/>
    </row>
    <row r="135" spans="1:5" x14ac:dyDescent="0.4">
      <c r="A135" s="91" t="s">
        <v>319</v>
      </c>
      <c r="B135" s="92"/>
      <c r="C135" s="93"/>
      <c r="D135" s="94" t="s">
        <v>98</v>
      </c>
      <c r="E135" s="91"/>
    </row>
    <row r="136" spans="1:5" x14ac:dyDescent="0.4">
      <c r="A136" s="91" t="s">
        <v>319</v>
      </c>
      <c r="B136" s="92" t="s">
        <v>296</v>
      </c>
      <c r="C136" s="93" t="s">
        <v>408</v>
      </c>
      <c r="D136" s="107" t="s">
        <v>340</v>
      </c>
      <c r="E136" s="91" t="s">
        <v>132</v>
      </c>
    </row>
    <row r="137" spans="1:5" x14ac:dyDescent="0.4">
      <c r="A137" s="91" t="s">
        <v>319</v>
      </c>
      <c r="B137" s="92" t="s">
        <v>296</v>
      </c>
      <c r="C137" s="93" t="s">
        <v>409</v>
      </c>
      <c r="D137" s="96" t="s">
        <v>321</v>
      </c>
      <c r="E137" s="91"/>
    </row>
    <row r="138" spans="1:5" x14ac:dyDescent="0.4">
      <c r="A138" s="91" t="s">
        <v>319</v>
      </c>
      <c r="B138" s="92"/>
      <c r="C138" s="93"/>
      <c r="D138" s="96" t="s">
        <v>322</v>
      </c>
      <c r="E138" s="91"/>
    </row>
    <row r="139" spans="1:5" x14ac:dyDescent="0.4">
      <c r="A139" s="91" t="s">
        <v>319</v>
      </c>
      <c r="B139" s="92"/>
      <c r="C139" s="93"/>
      <c r="D139" s="96" t="s">
        <v>323</v>
      </c>
      <c r="E139" s="91"/>
    </row>
    <row r="140" spans="1:5" x14ac:dyDescent="0.4">
      <c r="A140" s="91" t="s">
        <v>319</v>
      </c>
      <c r="B140" s="92" t="s">
        <v>296</v>
      </c>
      <c r="C140" s="93" t="s">
        <v>410</v>
      </c>
      <c r="D140" s="96" t="s">
        <v>324</v>
      </c>
      <c r="E140" s="91"/>
    </row>
    <row r="141" spans="1:5" x14ac:dyDescent="0.4">
      <c r="A141" s="91" t="s">
        <v>319</v>
      </c>
      <c r="B141" s="92"/>
      <c r="C141" s="93"/>
      <c r="D141" s="94" t="s">
        <v>325</v>
      </c>
      <c r="E141" s="93"/>
    </row>
    <row r="142" spans="1:5" x14ac:dyDescent="0.4">
      <c r="A142" s="91" t="s">
        <v>319</v>
      </c>
      <c r="B142" s="92" t="s">
        <v>296</v>
      </c>
      <c r="C142" s="93" t="s">
        <v>411</v>
      </c>
      <c r="D142" s="96" t="s">
        <v>367</v>
      </c>
      <c r="E142" s="91"/>
    </row>
    <row r="143" spans="1:5" x14ac:dyDescent="0.4">
      <c r="A143" s="91" t="s">
        <v>319</v>
      </c>
      <c r="B143" s="92"/>
      <c r="C143" s="93"/>
      <c r="D143" s="96" t="s">
        <v>368</v>
      </c>
      <c r="E143" s="91"/>
    </row>
    <row r="144" spans="1:5" x14ac:dyDescent="0.4">
      <c r="A144" s="91" t="s">
        <v>319</v>
      </c>
      <c r="B144" s="92" t="s">
        <v>296</v>
      </c>
      <c r="C144" s="93" t="s">
        <v>412</v>
      </c>
      <c r="D144" s="105" t="s">
        <v>328</v>
      </c>
      <c r="E144" s="91" t="s">
        <v>132</v>
      </c>
    </row>
    <row r="145" spans="1:5" x14ac:dyDescent="0.4">
      <c r="A145" s="91" t="s">
        <v>319</v>
      </c>
      <c r="B145" s="92" t="s">
        <v>296</v>
      </c>
      <c r="C145" s="93" t="s">
        <v>431</v>
      </c>
      <c r="D145" s="106" t="s">
        <v>329</v>
      </c>
      <c r="E145" s="91" t="s">
        <v>78</v>
      </c>
    </row>
    <row r="146" spans="1:5" x14ac:dyDescent="0.4">
      <c r="A146" s="91" t="s">
        <v>319</v>
      </c>
      <c r="B146" s="92"/>
      <c r="C146" s="93"/>
      <c r="D146" s="106" t="s">
        <v>330</v>
      </c>
      <c r="E146" s="91"/>
    </row>
    <row r="147" spans="1:5" x14ac:dyDescent="0.4">
      <c r="A147" s="91" t="s">
        <v>319</v>
      </c>
      <c r="B147" s="92"/>
      <c r="C147" s="93"/>
      <c r="D147" s="106" t="s">
        <v>331</v>
      </c>
      <c r="E147" s="91"/>
    </row>
    <row r="148" spans="1:5" x14ac:dyDescent="0.4">
      <c r="A148" s="91" t="s">
        <v>319</v>
      </c>
      <c r="B148" s="92"/>
      <c r="C148" s="93"/>
      <c r="D148" s="106" t="s">
        <v>332</v>
      </c>
      <c r="E148" s="91"/>
    </row>
    <row r="149" spans="1:5" x14ac:dyDescent="0.4">
      <c r="A149" s="91" t="s">
        <v>319</v>
      </c>
      <c r="B149" s="92"/>
      <c r="C149" s="93"/>
      <c r="D149" s="106" t="s">
        <v>333</v>
      </c>
      <c r="E149" s="91"/>
    </row>
    <row r="150" spans="1:5" x14ac:dyDescent="0.4">
      <c r="A150" s="91" t="s">
        <v>319</v>
      </c>
      <c r="B150" s="92"/>
      <c r="C150" s="93"/>
      <c r="D150" s="106" t="s">
        <v>334</v>
      </c>
      <c r="E150" s="91"/>
    </row>
    <row r="151" spans="1:5" x14ac:dyDescent="0.4">
      <c r="A151" s="91" t="s">
        <v>319</v>
      </c>
      <c r="B151" s="92"/>
      <c r="C151" s="93"/>
      <c r="D151" s="106" t="s">
        <v>335</v>
      </c>
      <c r="E151" s="91"/>
    </row>
    <row r="152" spans="1:5" x14ac:dyDescent="0.4">
      <c r="A152" s="91" t="s">
        <v>319</v>
      </c>
      <c r="B152" s="92"/>
      <c r="C152" s="93"/>
      <c r="D152" s="106" t="s">
        <v>336</v>
      </c>
      <c r="E152" s="91"/>
    </row>
    <row r="153" spans="1:5" x14ac:dyDescent="0.4">
      <c r="A153" s="91" t="s">
        <v>319</v>
      </c>
      <c r="B153" s="92"/>
      <c r="C153" s="93"/>
      <c r="D153" s="106" t="s">
        <v>337</v>
      </c>
      <c r="E153" s="91"/>
    </row>
    <row r="154" spans="1:5" x14ac:dyDescent="0.4">
      <c r="A154" s="91" t="s">
        <v>319</v>
      </c>
      <c r="B154" s="92"/>
      <c r="C154" s="93"/>
      <c r="D154" s="106" t="s">
        <v>338</v>
      </c>
      <c r="E154" s="91"/>
    </row>
    <row r="155" spans="1:5" x14ac:dyDescent="0.4">
      <c r="A155" s="91" t="s">
        <v>319</v>
      </c>
      <c r="B155" s="92" t="s">
        <v>296</v>
      </c>
      <c r="C155" s="93" t="s">
        <v>413</v>
      </c>
      <c r="D155" s="96" t="s">
        <v>369</v>
      </c>
      <c r="E155" s="91"/>
    </row>
    <row r="156" spans="1:5" x14ac:dyDescent="0.4">
      <c r="A156" s="91" t="s">
        <v>319</v>
      </c>
      <c r="B156" s="92"/>
      <c r="C156" s="93"/>
      <c r="D156" s="96" t="s">
        <v>370</v>
      </c>
      <c r="E156" s="91"/>
    </row>
    <row r="157" spans="1:5" x14ac:dyDescent="0.4">
      <c r="A157" s="91" t="s">
        <v>319</v>
      </c>
      <c r="B157" s="92" t="s">
        <v>296</v>
      </c>
      <c r="C157" s="93" t="s">
        <v>414</v>
      </c>
      <c r="D157" s="93" t="s">
        <v>371</v>
      </c>
      <c r="E157" s="91"/>
    </row>
    <row r="158" spans="1:5" x14ac:dyDescent="0.4">
      <c r="A158" s="91" t="s">
        <v>319</v>
      </c>
      <c r="B158" s="92"/>
      <c r="C158" s="93"/>
      <c r="D158" s="93" t="s">
        <v>372</v>
      </c>
      <c r="E158" s="91"/>
    </row>
    <row r="159" spans="1:5" x14ac:dyDescent="0.4">
      <c r="A159" s="91" t="s">
        <v>319</v>
      </c>
      <c r="B159" s="92" t="s">
        <v>296</v>
      </c>
      <c r="C159" s="93" t="s">
        <v>415</v>
      </c>
      <c r="D159" s="97">
        <v>12.5</v>
      </c>
      <c r="E159" s="91" t="s">
        <v>131</v>
      </c>
    </row>
    <row r="160" spans="1:5" x14ac:dyDescent="0.4">
      <c r="A160" s="91" t="s">
        <v>319</v>
      </c>
      <c r="B160" s="92" t="s">
        <v>296</v>
      </c>
      <c r="C160" s="93" t="s">
        <v>416</v>
      </c>
      <c r="D160" s="97">
        <v>63.7</v>
      </c>
      <c r="E160" s="91" t="s">
        <v>132</v>
      </c>
    </row>
    <row r="161" spans="1:5" x14ac:dyDescent="0.4">
      <c r="A161" s="91" t="s">
        <v>319</v>
      </c>
      <c r="B161" s="92" t="s">
        <v>296</v>
      </c>
      <c r="C161" s="93" t="s">
        <v>417</v>
      </c>
      <c r="D161" s="98">
        <v>155</v>
      </c>
      <c r="E161" s="91" t="s">
        <v>133</v>
      </c>
    </row>
    <row r="162" spans="1:5" x14ac:dyDescent="0.4">
      <c r="A162" s="91" t="s">
        <v>319</v>
      </c>
      <c r="B162" s="92" t="s">
        <v>296</v>
      </c>
      <c r="C162" s="93" t="s">
        <v>418</v>
      </c>
      <c r="D162" s="98">
        <v>134</v>
      </c>
      <c r="E162" s="91" t="s">
        <v>134</v>
      </c>
    </row>
    <row r="163" spans="1:5" x14ac:dyDescent="0.4">
      <c r="A163" s="91" t="s">
        <v>319</v>
      </c>
      <c r="B163" s="92" t="s">
        <v>296</v>
      </c>
      <c r="C163" s="93" t="s">
        <v>419</v>
      </c>
      <c r="D163" s="93" t="s">
        <v>377</v>
      </c>
      <c r="E163" s="91"/>
    </row>
    <row r="164" spans="1:5" x14ac:dyDescent="0.4">
      <c r="A164" s="91" t="s">
        <v>319</v>
      </c>
      <c r="B164" s="95" t="s">
        <v>297</v>
      </c>
      <c r="C164" s="93" t="s">
        <v>100</v>
      </c>
      <c r="D164" s="96" t="s">
        <v>101</v>
      </c>
      <c r="E164" s="91"/>
    </row>
    <row r="165" spans="1:5" x14ac:dyDescent="0.4">
      <c r="A165" s="91" t="s">
        <v>319</v>
      </c>
      <c r="B165" s="95"/>
      <c r="C165" s="93"/>
      <c r="D165" s="96" t="s">
        <v>102</v>
      </c>
      <c r="E165" s="91"/>
    </row>
    <row r="166" spans="1:5" x14ac:dyDescent="0.4">
      <c r="A166" s="91" t="s">
        <v>319</v>
      </c>
      <c r="B166" s="95"/>
      <c r="C166" s="93"/>
      <c r="D166" s="96" t="s">
        <v>103</v>
      </c>
      <c r="E166" s="91"/>
    </row>
    <row r="167" spans="1:5" x14ac:dyDescent="0.4">
      <c r="A167" s="91" t="s">
        <v>319</v>
      </c>
      <c r="B167" s="95"/>
      <c r="C167" s="93"/>
      <c r="D167" s="96" t="s">
        <v>104</v>
      </c>
      <c r="E167" s="91"/>
    </row>
    <row r="168" spans="1:5" x14ac:dyDescent="0.4">
      <c r="A168" s="91" t="s">
        <v>319</v>
      </c>
      <c r="B168" s="95"/>
      <c r="C168" s="93"/>
      <c r="D168" s="96" t="s">
        <v>105</v>
      </c>
      <c r="E168" s="91"/>
    </row>
    <row r="169" spans="1:5" x14ac:dyDescent="0.4">
      <c r="A169" s="91" t="s">
        <v>319</v>
      </c>
      <c r="B169" s="95"/>
      <c r="C169" s="93"/>
      <c r="D169" s="96" t="s">
        <v>106</v>
      </c>
      <c r="E169" s="91"/>
    </row>
    <row r="170" spans="1:5" x14ac:dyDescent="0.4">
      <c r="A170" s="91" t="s">
        <v>319</v>
      </c>
      <c r="B170" s="95"/>
      <c r="C170" s="93"/>
      <c r="D170" s="96" t="s">
        <v>107</v>
      </c>
      <c r="E170" s="91"/>
    </row>
    <row r="171" spans="1:5" x14ac:dyDescent="0.4">
      <c r="A171" s="91" t="s">
        <v>319</v>
      </c>
      <c r="B171" s="95"/>
      <c r="C171" s="93"/>
      <c r="D171" s="96" t="s">
        <v>108</v>
      </c>
      <c r="E171" s="91"/>
    </row>
    <row r="172" spans="1:5" x14ac:dyDescent="0.4">
      <c r="A172" s="91" t="s">
        <v>319</v>
      </c>
      <c r="B172" s="95"/>
      <c r="C172" s="93"/>
      <c r="D172" s="96" t="s">
        <v>109</v>
      </c>
      <c r="E172" s="91"/>
    </row>
    <row r="173" spans="1:5" x14ac:dyDescent="0.4">
      <c r="A173" s="91" t="s">
        <v>319</v>
      </c>
      <c r="B173" s="95"/>
      <c r="C173" s="93"/>
      <c r="D173" s="96" t="s">
        <v>110</v>
      </c>
      <c r="E173" s="91"/>
    </row>
    <row r="174" spans="1:5" x14ac:dyDescent="0.4">
      <c r="A174" s="91" t="s">
        <v>319</v>
      </c>
      <c r="B174" s="95"/>
      <c r="C174" s="93"/>
      <c r="D174" s="96" t="s">
        <v>96</v>
      </c>
      <c r="E174" s="91"/>
    </row>
    <row r="175" spans="1:5" x14ac:dyDescent="0.4">
      <c r="A175" s="91" t="s">
        <v>319</v>
      </c>
      <c r="B175" s="95"/>
      <c r="C175" s="93"/>
      <c r="D175" s="96" t="s">
        <v>111</v>
      </c>
      <c r="E175" s="91"/>
    </row>
    <row r="176" spans="1:5" x14ac:dyDescent="0.4">
      <c r="A176" s="91" t="s">
        <v>319</v>
      </c>
      <c r="B176" s="95" t="s">
        <v>297</v>
      </c>
      <c r="C176" s="93" t="s">
        <v>112</v>
      </c>
      <c r="D176" s="96" t="s">
        <v>97</v>
      </c>
      <c r="E176" s="91"/>
    </row>
    <row r="177" spans="1:5" x14ac:dyDescent="0.4">
      <c r="A177" s="91" t="s">
        <v>319</v>
      </c>
      <c r="B177" s="95"/>
      <c r="C177" s="93"/>
      <c r="D177" s="96" t="s">
        <v>98</v>
      </c>
      <c r="E177" s="91"/>
    </row>
    <row r="178" spans="1:5" x14ac:dyDescent="0.4">
      <c r="A178" s="91" t="s">
        <v>319</v>
      </c>
      <c r="B178" s="95" t="s">
        <v>297</v>
      </c>
      <c r="C178" s="93" t="s">
        <v>326</v>
      </c>
      <c r="D178" s="106" t="s">
        <v>379</v>
      </c>
      <c r="E178" s="91"/>
    </row>
    <row r="179" spans="1:5" x14ac:dyDescent="0.4">
      <c r="A179" s="91" t="s">
        <v>319</v>
      </c>
      <c r="B179" s="95"/>
      <c r="C179" s="93"/>
      <c r="D179" s="106" t="s">
        <v>380</v>
      </c>
      <c r="E179" s="91"/>
    </row>
    <row r="180" spans="1:5" x14ac:dyDescent="0.4">
      <c r="A180" s="91" t="s">
        <v>319</v>
      </c>
      <c r="B180" s="95"/>
      <c r="C180" s="93"/>
      <c r="D180" s="106" t="s">
        <v>381</v>
      </c>
      <c r="E180" s="91"/>
    </row>
    <row r="181" spans="1:5" x14ac:dyDescent="0.4">
      <c r="A181" s="91" t="s">
        <v>319</v>
      </c>
      <c r="B181" s="95"/>
      <c r="C181" s="93"/>
      <c r="D181" s="106" t="s">
        <v>382</v>
      </c>
      <c r="E181" s="91"/>
    </row>
    <row r="182" spans="1:5" x14ac:dyDescent="0.4">
      <c r="A182" s="91" t="s">
        <v>319</v>
      </c>
      <c r="B182" s="95"/>
      <c r="C182" s="93"/>
      <c r="D182" s="106" t="s">
        <v>383</v>
      </c>
      <c r="E182" s="91"/>
    </row>
    <row r="183" spans="1:5" x14ac:dyDescent="0.4">
      <c r="A183" s="91" t="s">
        <v>319</v>
      </c>
      <c r="B183" s="95"/>
      <c r="C183" s="93"/>
      <c r="D183" s="106" t="s">
        <v>384</v>
      </c>
      <c r="E183" s="91"/>
    </row>
    <row r="184" spans="1:5" x14ac:dyDescent="0.4">
      <c r="A184" s="91" t="s">
        <v>319</v>
      </c>
      <c r="B184" s="95"/>
      <c r="C184" s="93"/>
      <c r="D184" s="106" t="s">
        <v>385</v>
      </c>
      <c r="E184" s="91"/>
    </row>
    <row r="185" spans="1:5" x14ac:dyDescent="0.4">
      <c r="A185" s="91" t="s">
        <v>319</v>
      </c>
      <c r="B185" s="95"/>
      <c r="C185" s="93"/>
      <c r="D185" s="106" t="s">
        <v>386</v>
      </c>
      <c r="E185" s="91"/>
    </row>
    <row r="186" spans="1:5" x14ac:dyDescent="0.4">
      <c r="A186" s="91" t="s">
        <v>319</v>
      </c>
      <c r="B186" s="95"/>
      <c r="C186" s="93"/>
      <c r="D186" s="106" t="s">
        <v>387</v>
      </c>
      <c r="E186" s="91"/>
    </row>
    <row r="187" spans="1:5" x14ac:dyDescent="0.4">
      <c r="A187" s="91" t="s">
        <v>319</v>
      </c>
      <c r="B187" s="95"/>
      <c r="C187" s="93"/>
      <c r="D187" s="106" t="s">
        <v>338</v>
      </c>
      <c r="E187" s="91"/>
    </row>
    <row r="188" spans="1:5" x14ac:dyDescent="0.4">
      <c r="A188" s="91" t="s">
        <v>319</v>
      </c>
      <c r="B188" s="95" t="s">
        <v>297</v>
      </c>
      <c r="C188" s="93" t="s">
        <v>373</v>
      </c>
      <c r="D188" s="96" t="s">
        <v>97</v>
      </c>
      <c r="E188" s="91"/>
    </row>
    <row r="189" spans="1:5" x14ac:dyDescent="0.4">
      <c r="A189" s="91" t="s">
        <v>319</v>
      </c>
      <c r="B189" s="95"/>
      <c r="C189" s="93"/>
      <c r="D189" s="96" t="s">
        <v>98</v>
      </c>
      <c r="E189" s="91"/>
    </row>
    <row r="190" spans="1:5" x14ac:dyDescent="0.4">
      <c r="A190" s="91" t="s">
        <v>319</v>
      </c>
      <c r="B190" s="95" t="s">
        <v>297</v>
      </c>
      <c r="C190" s="93" t="s">
        <v>374</v>
      </c>
      <c r="D190" s="96">
        <v>1</v>
      </c>
      <c r="E190" s="91"/>
    </row>
    <row r="191" spans="1:5" x14ac:dyDescent="0.4">
      <c r="A191" s="91" t="s">
        <v>319</v>
      </c>
      <c r="B191" s="95"/>
      <c r="C191" s="93"/>
      <c r="D191" s="96">
        <v>2</v>
      </c>
      <c r="E191" s="91"/>
    </row>
    <row r="192" spans="1:5" x14ac:dyDescent="0.4">
      <c r="A192" s="91" t="s">
        <v>319</v>
      </c>
      <c r="B192" s="95"/>
      <c r="C192" s="93"/>
      <c r="D192" s="96">
        <v>3</v>
      </c>
      <c r="E192" s="91"/>
    </row>
    <row r="193" spans="1:5" x14ac:dyDescent="0.4">
      <c r="A193" s="91" t="s">
        <v>319</v>
      </c>
      <c r="B193" s="95"/>
      <c r="C193" s="93"/>
      <c r="D193" s="96">
        <v>4</v>
      </c>
      <c r="E193" s="91"/>
    </row>
    <row r="194" spans="1:5" x14ac:dyDescent="0.4">
      <c r="A194" s="91" t="s">
        <v>319</v>
      </c>
      <c r="B194" s="95"/>
      <c r="C194" s="93"/>
      <c r="D194" s="96">
        <v>5</v>
      </c>
      <c r="E194" s="91"/>
    </row>
    <row r="195" spans="1:5" x14ac:dyDescent="0.4">
      <c r="A195" s="91" t="s">
        <v>319</v>
      </c>
      <c r="B195" s="95" t="s">
        <v>297</v>
      </c>
      <c r="C195" s="93" t="s">
        <v>375</v>
      </c>
      <c r="D195" s="96" t="s">
        <v>376</v>
      </c>
      <c r="E195" s="91"/>
    </row>
    <row r="196" spans="1:5" x14ac:dyDescent="0.4">
      <c r="A196" s="91" t="s">
        <v>319</v>
      </c>
      <c r="B196" s="95" t="s">
        <v>297</v>
      </c>
      <c r="C196" s="93" t="s">
        <v>113</v>
      </c>
      <c r="D196" s="96" t="s">
        <v>114</v>
      </c>
      <c r="E196" s="91"/>
    </row>
    <row r="197" spans="1:5" x14ac:dyDescent="0.4">
      <c r="A197" s="91" t="s">
        <v>319</v>
      </c>
      <c r="B197" s="95"/>
      <c r="C197" s="93"/>
      <c r="D197" s="96" t="s">
        <v>115</v>
      </c>
      <c r="E197" s="91"/>
    </row>
    <row r="198" spans="1:5" x14ac:dyDescent="0.4">
      <c r="A198" s="91" t="s">
        <v>319</v>
      </c>
      <c r="B198" s="95" t="s">
        <v>297</v>
      </c>
      <c r="C198" s="93" t="s">
        <v>116</v>
      </c>
      <c r="D198" s="96" t="s">
        <v>117</v>
      </c>
      <c r="E198" s="91"/>
    </row>
    <row r="199" spans="1:5" x14ac:dyDescent="0.4">
      <c r="A199" s="91" t="s">
        <v>319</v>
      </c>
      <c r="B199" s="99"/>
      <c r="C199" s="100"/>
      <c r="D199" s="101" t="s">
        <v>118</v>
      </c>
      <c r="E199" s="91"/>
    </row>
    <row r="200" spans="1:5" x14ac:dyDescent="0.4">
      <c r="A200" s="91" t="s">
        <v>319</v>
      </c>
      <c r="B200" s="92" t="s">
        <v>298</v>
      </c>
      <c r="C200" s="93" t="s">
        <v>119</v>
      </c>
      <c r="D200" s="94" t="s">
        <v>120</v>
      </c>
      <c r="E200" s="91"/>
    </row>
    <row r="201" spans="1:5" x14ac:dyDescent="0.4">
      <c r="A201" s="91" t="s">
        <v>319</v>
      </c>
      <c r="B201" s="92" t="s">
        <v>298</v>
      </c>
      <c r="C201" s="93" t="s">
        <v>121</v>
      </c>
      <c r="D201" s="94" t="s">
        <v>117</v>
      </c>
      <c r="E201" s="91"/>
    </row>
    <row r="202" spans="1:5" x14ac:dyDescent="0.4">
      <c r="A202" s="91" t="s">
        <v>319</v>
      </c>
      <c r="B202" s="92"/>
      <c r="C202" s="93"/>
      <c r="D202" s="94" t="s">
        <v>118</v>
      </c>
      <c r="E202" s="91"/>
    </row>
    <row r="203" spans="1:5" x14ac:dyDescent="0.4">
      <c r="A203" s="91" t="s">
        <v>319</v>
      </c>
      <c r="B203" s="92" t="s">
        <v>298</v>
      </c>
      <c r="C203" s="93" t="s">
        <v>122</v>
      </c>
      <c r="D203" s="94" t="s">
        <v>123</v>
      </c>
      <c r="E203" s="91"/>
    </row>
    <row r="204" spans="1:5" x14ac:dyDescent="0.4">
      <c r="A204" s="91" t="s">
        <v>319</v>
      </c>
      <c r="B204" s="92"/>
      <c r="C204" s="93"/>
      <c r="D204" s="94" t="s">
        <v>115</v>
      </c>
      <c r="E204" s="91"/>
    </row>
    <row r="205" spans="1:5" x14ac:dyDescent="0.4">
      <c r="A205" s="91" t="s">
        <v>319</v>
      </c>
      <c r="B205" s="92" t="s">
        <v>298</v>
      </c>
      <c r="C205" s="93" t="s">
        <v>124</v>
      </c>
      <c r="D205" s="94" t="s">
        <v>125</v>
      </c>
      <c r="E205" s="91"/>
    </row>
    <row r="206" spans="1:5" x14ac:dyDescent="0.4">
      <c r="A206" s="91" t="s">
        <v>319</v>
      </c>
      <c r="B206" s="92"/>
      <c r="C206" s="93"/>
      <c r="D206" s="94" t="s">
        <v>126</v>
      </c>
      <c r="E206" s="91"/>
    </row>
    <row r="207" spans="1:5" x14ac:dyDescent="0.4">
      <c r="A207" s="91" t="s">
        <v>319</v>
      </c>
      <c r="B207" s="92" t="s">
        <v>298</v>
      </c>
      <c r="C207" s="93" t="s">
        <v>127</v>
      </c>
      <c r="D207" s="94" t="s">
        <v>97</v>
      </c>
      <c r="E207" s="91"/>
    </row>
    <row r="208" spans="1:5" x14ac:dyDescent="0.4">
      <c r="A208" s="91" t="s">
        <v>319</v>
      </c>
      <c r="B208" s="92"/>
      <c r="C208" s="93"/>
      <c r="D208" s="94" t="s">
        <v>128</v>
      </c>
      <c r="E208" s="91"/>
    </row>
    <row r="209" spans="1:6" x14ac:dyDescent="0.4">
      <c r="A209" s="91" t="s">
        <v>319</v>
      </c>
      <c r="B209" s="92"/>
      <c r="C209" s="93"/>
      <c r="D209" s="94" t="s">
        <v>129</v>
      </c>
      <c r="E209" s="91"/>
    </row>
    <row r="210" spans="1:6" x14ac:dyDescent="0.4">
      <c r="A210" s="91" t="s">
        <v>319</v>
      </c>
      <c r="B210" s="92" t="s">
        <v>298</v>
      </c>
      <c r="C210" s="93" t="s">
        <v>420</v>
      </c>
      <c r="D210" s="94">
        <v>99</v>
      </c>
      <c r="E210" s="91" t="s">
        <v>134</v>
      </c>
    </row>
    <row r="211" spans="1:6" x14ac:dyDescent="0.4">
      <c r="A211" s="91" t="s">
        <v>319</v>
      </c>
      <c r="B211" s="92" t="s">
        <v>298</v>
      </c>
      <c r="C211" s="93" t="s">
        <v>421</v>
      </c>
      <c r="D211" s="94">
        <v>99</v>
      </c>
      <c r="E211" s="91" t="s">
        <v>134</v>
      </c>
    </row>
    <row r="212" spans="1:6" x14ac:dyDescent="0.4">
      <c r="A212" s="91" t="s">
        <v>319</v>
      </c>
      <c r="B212" s="92" t="s">
        <v>298</v>
      </c>
      <c r="C212" s="93" t="s">
        <v>422</v>
      </c>
      <c r="D212" s="94">
        <v>99</v>
      </c>
      <c r="E212" s="91" t="s">
        <v>388</v>
      </c>
    </row>
    <row r="213" spans="1:6" x14ac:dyDescent="0.4">
      <c r="A213" s="91" t="s">
        <v>319</v>
      </c>
      <c r="B213" s="92" t="s">
        <v>298</v>
      </c>
      <c r="C213" s="93" t="s">
        <v>423</v>
      </c>
      <c r="D213" s="94">
        <v>99</v>
      </c>
      <c r="E213" s="91" t="s">
        <v>134</v>
      </c>
    </row>
    <row r="214" spans="1:6" x14ac:dyDescent="0.4">
      <c r="A214" s="91" t="s">
        <v>319</v>
      </c>
      <c r="B214" s="92" t="s">
        <v>298</v>
      </c>
      <c r="C214" s="93" t="s">
        <v>424</v>
      </c>
      <c r="D214" s="94">
        <v>99</v>
      </c>
      <c r="E214" s="91" t="s">
        <v>134</v>
      </c>
    </row>
    <row r="215" spans="1:6" x14ac:dyDescent="0.4">
      <c r="A215" s="91" t="s">
        <v>319</v>
      </c>
      <c r="B215" s="92" t="s">
        <v>298</v>
      </c>
      <c r="C215" s="93" t="s">
        <v>425</v>
      </c>
      <c r="D215" s="94">
        <v>99</v>
      </c>
      <c r="E215" s="91" t="s">
        <v>134</v>
      </c>
    </row>
    <row r="216" spans="1:6" x14ac:dyDescent="0.4">
      <c r="A216" s="91" t="s">
        <v>319</v>
      </c>
      <c r="B216" s="92" t="s">
        <v>298</v>
      </c>
      <c r="C216" s="93" t="s">
        <v>426</v>
      </c>
      <c r="D216" s="94">
        <v>99</v>
      </c>
      <c r="E216" s="91" t="s">
        <v>388</v>
      </c>
    </row>
    <row r="217" spans="1:6" x14ac:dyDescent="0.4">
      <c r="A217" s="91" t="s">
        <v>319</v>
      </c>
      <c r="B217" s="92" t="s">
        <v>298</v>
      </c>
      <c r="C217" s="93" t="s">
        <v>427</v>
      </c>
      <c r="D217" s="94">
        <v>99</v>
      </c>
      <c r="E217" s="91" t="s">
        <v>134</v>
      </c>
    </row>
    <row r="218" spans="1:6" x14ac:dyDescent="0.4">
      <c r="A218" s="91" t="s">
        <v>319</v>
      </c>
      <c r="B218" s="92" t="s">
        <v>298</v>
      </c>
      <c r="C218" s="93" t="s">
        <v>130</v>
      </c>
      <c r="D218" s="94" t="s">
        <v>97</v>
      </c>
      <c r="E218" s="91"/>
    </row>
    <row r="219" spans="1:6" x14ac:dyDescent="0.4">
      <c r="A219" s="91" t="s">
        <v>319</v>
      </c>
      <c r="B219" s="92"/>
      <c r="C219" s="93"/>
      <c r="D219" s="94" t="s">
        <v>98</v>
      </c>
      <c r="E219" s="93"/>
    </row>
    <row r="220" spans="1:6" x14ac:dyDescent="0.4">
      <c r="A220" s="103" t="s">
        <v>319</v>
      </c>
      <c r="B220" s="102" t="s">
        <v>298</v>
      </c>
      <c r="C220" s="103" t="s">
        <v>389</v>
      </c>
      <c r="D220" s="104">
        <v>99</v>
      </c>
      <c r="E220" s="103" t="s">
        <v>388</v>
      </c>
    </row>
    <row r="221" spans="1:6" x14ac:dyDescent="0.4">
      <c r="A221" s="114" t="s">
        <v>494</v>
      </c>
      <c r="B221" s="115" t="s">
        <v>478</v>
      </c>
      <c r="C221" s="114" t="s">
        <v>493</v>
      </c>
      <c r="D221" s="114" t="s">
        <v>495</v>
      </c>
      <c r="E221" s="114"/>
      <c r="F221" s="34" t="str">
        <f>"冷房_"&amp;C221</f>
        <v>冷房_冷房方式</v>
      </c>
    </row>
    <row r="222" spans="1:6" x14ac:dyDescent="0.4">
      <c r="A222" s="114" t="s">
        <v>494</v>
      </c>
      <c r="B222" s="115"/>
      <c r="C222" s="114"/>
      <c r="D222" s="114" t="s">
        <v>496</v>
      </c>
      <c r="E222" s="114"/>
    </row>
    <row r="223" spans="1:6" x14ac:dyDescent="0.4">
      <c r="A223" s="114" t="s">
        <v>494</v>
      </c>
      <c r="B223" s="116"/>
      <c r="C223" s="117"/>
      <c r="D223" s="117" t="s">
        <v>94</v>
      </c>
      <c r="E223" s="117"/>
    </row>
    <row r="224" spans="1:6" x14ac:dyDescent="0.4">
      <c r="A224" s="114" t="s">
        <v>494</v>
      </c>
      <c r="B224" s="115" t="s">
        <v>479</v>
      </c>
      <c r="C224" s="114" t="s">
        <v>501</v>
      </c>
      <c r="D224" s="114" t="s">
        <v>95</v>
      </c>
      <c r="E224" s="114"/>
      <c r="F224" s="34" t="str">
        <f>"冷房_"&amp;C224</f>
        <v>冷房_冷房設備機器の種類_主たる居室</v>
      </c>
    </row>
    <row r="225" spans="1:6" x14ac:dyDescent="0.4">
      <c r="A225" s="114" t="s">
        <v>494</v>
      </c>
      <c r="B225" s="115"/>
      <c r="C225" s="114"/>
      <c r="D225" s="114" t="s">
        <v>498</v>
      </c>
      <c r="E225" s="114"/>
    </row>
    <row r="226" spans="1:6" x14ac:dyDescent="0.4">
      <c r="A226" s="114" t="s">
        <v>494</v>
      </c>
      <c r="B226" s="115"/>
      <c r="C226" s="114"/>
      <c r="D226" s="114" t="s">
        <v>96</v>
      </c>
      <c r="E226" s="114"/>
    </row>
    <row r="227" spans="1:6" x14ac:dyDescent="0.4">
      <c r="A227" s="114" t="s">
        <v>494</v>
      </c>
      <c r="B227" s="115"/>
      <c r="C227" s="114"/>
      <c r="D227" s="114" t="s">
        <v>499</v>
      </c>
      <c r="E227" s="114"/>
    </row>
    <row r="228" spans="1:6" x14ac:dyDescent="0.4">
      <c r="A228" s="114" t="s">
        <v>494</v>
      </c>
      <c r="B228" s="115"/>
      <c r="C228" s="114" t="s">
        <v>502</v>
      </c>
      <c r="D228" s="114" t="s">
        <v>97</v>
      </c>
      <c r="E228" s="114"/>
      <c r="F228" s="34" t="str">
        <f>"冷房_"&amp;C228</f>
        <v>冷房_エネルギー消費効率の入力_主たる居室</v>
      </c>
    </row>
    <row r="229" spans="1:6" x14ac:dyDescent="0.4">
      <c r="A229" s="114" t="s">
        <v>494</v>
      </c>
      <c r="B229" s="115"/>
      <c r="C229" s="114"/>
      <c r="D229" s="114" t="s">
        <v>98</v>
      </c>
      <c r="E229" s="114"/>
    </row>
    <row r="230" spans="1:6" x14ac:dyDescent="0.4">
      <c r="A230" s="114" t="s">
        <v>494</v>
      </c>
      <c r="B230" s="116"/>
      <c r="C230" s="117" t="s">
        <v>511</v>
      </c>
      <c r="D230" s="117" t="s">
        <v>507</v>
      </c>
      <c r="E230" s="117"/>
      <c r="F230" s="34" t="str">
        <f>"冷房_"&amp;C230</f>
        <v>冷房_その他の冷房設備機器の名称_主たる居室</v>
      </c>
    </row>
    <row r="231" spans="1:6" x14ac:dyDescent="0.4">
      <c r="A231" s="114" t="s">
        <v>494</v>
      </c>
      <c r="B231" s="115" t="s">
        <v>480</v>
      </c>
      <c r="C231" s="114" t="s">
        <v>504</v>
      </c>
      <c r="D231" s="114" t="s">
        <v>95</v>
      </c>
      <c r="E231" s="114"/>
      <c r="F231" s="34" t="str">
        <f>"冷房_"&amp;C231</f>
        <v>冷房_冷房設備機器の種類_その他の居室</v>
      </c>
    </row>
    <row r="232" spans="1:6" x14ac:dyDescent="0.4">
      <c r="A232" s="114" t="s">
        <v>494</v>
      </c>
      <c r="B232" s="115"/>
      <c r="C232" s="114"/>
      <c r="D232" s="114" t="s">
        <v>498</v>
      </c>
      <c r="E232" s="114"/>
    </row>
    <row r="233" spans="1:6" x14ac:dyDescent="0.4">
      <c r="A233" s="114" t="s">
        <v>494</v>
      </c>
      <c r="B233" s="115"/>
      <c r="C233" s="114"/>
      <c r="D233" s="114" t="s">
        <v>96</v>
      </c>
      <c r="E233" s="114"/>
    </row>
    <row r="234" spans="1:6" x14ac:dyDescent="0.4">
      <c r="A234" s="114" t="s">
        <v>494</v>
      </c>
      <c r="B234" s="115"/>
      <c r="C234" s="114"/>
      <c r="D234" s="114" t="s">
        <v>499</v>
      </c>
      <c r="E234" s="114"/>
    </row>
    <row r="235" spans="1:6" x14ac:dyDescent="0.4">
      <c r="A235" s="114" t="s">
        <v>494</v>
      </c>
      <c r="B235" s="115"/>
      <c r="C235" s="114" t="s">
        <v>505</v>
      </c>
      <c r="D235" s="114" t="s">
        <v>97</v>
      </c>
      <c r="E235" s="114"/>
      <c r="F235" s="34" t="str">
        <f>"冷房_"&amp;C235</f>
        <v>冷房_エネルギー消費効率の入力_その他の居室</v>
      </c>
    </row>
    <row r="236" spans="1:6" x14ac:dyDescent="0.4">
      <c r="A236" s="114" t="s">
        <v>494</v>
      </c>
      <c r="B236" s="115"/>
      <c r="C236" s="114"/>
      <c r="D236" s="114" t="s">
        <v>98</v>
      </c>
      <c r="E236" s="114"/>
    </row>
    <row r="237" spans="1:6" x14ac:dyDescent="0.4">
      <c r="A237" s="114" t="s">
        <v>494</v>
      </c>
      <c r="B237" s="116"/>
      <c r="C237" s="117" t="s">
        <v>509</v>
      </c>
      <c r="D237" s="117" t="s">
        <v>507</v>
      </c>
      <c r="E237" s="117"/>
      <c r="F237" s="34" t="str">
        <f>"冷房_"&amp;C237</f>
        <v>冷房_その他の冷房設備機器の名称_その他の居室</v>
      </c>
    </row>
    <row r="238" spans="1:6" x14ac:dyDescent="0.4">
      <c r="A238" s="114" t="s">
        <v>494</v>
      </c>
      <c r="B238" s="115" t="s">
        <v>481</v>
      </c>
      <c r="C238" s="114" t="s">
        <v>497</v>
      </c>
      <c r="D238" s="114" t="s">
        <v>120</v>
      </c>
      <c r="E238" s="114"/>
      <c r="F238" s="34" t="str">
        <f>"冷房_"&amp;C238</f>
        <v>冷房_冷房設備機器の種類</v>
      </c>
    </row>
    <row r="239" spans="1:6" x14ac:dyDescent="0.4">
      <c r="A239" s="114" t="s">
        <v>494</v>
      </c>
      <c r="B239" s="115"/>
      <c r="C239" s="114" t="s">
        <v>121</v>
      </c>
      <c r="D239" s="114" t="s">
        <v>117</v>
      </c>
      <c r="E239" s="114"/>
      <c r="F239" s="34" t="str">
        <f>"冷房_"&amp;C239</f>
        <v>冷房_ダクトが通過する空間</v>
      </c>
    </row>
    <row r="240" spans="1:6" x14ac:dyDescent="0.4">
      <c r="A240" s="114" t="s">
        <v>494</v>
      </c>
      <c r="B240" s="115"/>
      <c r="C240" s="114"/>
      <c r="D240" s="114" t="s">
        <v>118</v>
      </c>
      <c r="E240" s="114"/>
    </row>
    <row r="241" spans="1:6" x14ac:dyDescent="0.4">
      <c r="A241" s="114" t="s">
        <v>494</v>
      </c>
      <c r="B241" s="115"/>
      <c r="C241" s="114" t="s">
        <v>122</v>
      </c>
      <c r="D241" s="114" t="s">
        <v>123</v>
      </c>
      <c r="E241" s="114"/>
      <c r="F241" s="34" t="str">
        <f>"冷房_"&amp;C241</f>
        <v>冷房_VAV方式</v>
      </c>
    </row>
    <row r="242" spans="1:6" x14ac:dyDescent="0.4">
      <c r="A242" s="114" t="s">
        <v>494</v>
      </c>
      <c r="B242" s="115"/>
      <c r="C242" s="114"/>
      <c r="D242" s="114" t="s">
        <v>115</v>
      </c>
      <c r="E242" s="114"/>
    </row>
    <row r="243" spans="1:6" x14ac:dyDescent="0.4">
      <c r="A243" s="114" t="s">
        <v>494</v>
      </c>
      <c r="B243" s="115"/>
      <c r="C243" s="114" t="s">
        <v>124</v>
      </c>
      <c r="D243" s="114" t="s">
        <v>125</v>
      </c>
      <c r="E243" s="114"/>
      <c r="F243" s="34" t="str">
        <f>"冷房_"&amp;C243</f>
        <v>冷房_全般換気機能</v>
      </c>
    </row>
    <row r="244" spans="1:6" x14ac:dyDescent="0.4">
      <c r="A244" s="114" t="s">
        <v>494</v>
      </c>
      <c r="B244" s="115"/>
      <c r="C244" s="114"/>
      <c r="D244" s="114" t="s">
        <v>126</v>
      </c>
      <c r="E244" s="114"/>
    </row>
    <row r="245" spans="1:6" x14ac:dyDescent="0.4">
      <c r="A245" s="114" t="s">
        <v>494</v>
      </c>
      <c r="B245" s="115"/>
      <c r="C245" s="114" t="s">
        <v>127</v>
      </c>
      <c r="D245" s="114" t="s">
        <v>97</v>
      </c>
      <c r="E245" s="114"/>
      <c r="F245" s="34" t="str">
        <f>"冷房_"&amp;C245</f>
        <v>冷房_機器の仕様の入力</v>
      </c>
    </row>
    <row r="246" spans="1:6" x14ac:dyDescent="0.4">
      <c r="A246" s="114" t="s">
        <v>494</v>
      </c>
      <c r="B246" s="115"/>
      <c r="C246" s="114"/>
      <c r="D246" s="114" t="s">
        <v>128</v>
      </c>
      <c r="E246" s="114"/>
    </row>
    <row r="247" spans="1:6" x14ac:dyDescent="0.4">
      <c r="A247" s="114" t="s">
        <v>494</v>
      </c>
      <c r="B247" s="115"/>
      <c r="C247" s="114"/>
      <c r="D247" s="114" t="s">
        <v>129</v>
      </c>
      <c r="E247" s="114"/>
    </row>
    <row r="248" spans="1:6" x14ac:dyDescent="0.4">
      <c r="A248" s="114" t="s">
        <v>494</v>
      </c>
      <c r="B248" s="115"/>
      <c r="C248" s="114" t="s">
        <v>130</v>
      </c>
      <c r="D248" s="114" t="s">
        <v>97</v>
      </c>
      <c r="E248" s="114"/>
      <c r="F248" s="34" t="str">
        <f>"冷房_"&amp;C248</f>
        <v>冷房_設計風量の入力</v>
      </c>
    </row>
    <row r="249" spans="1:6" x14ac:dyDescent="0.4">
      <c r="A249" s="114" t="s">
        <v>494</v>
      </c>
      <c r="B249" s="115"/>
      <c r="C249" s="114"/>
      <c r="D249" s="114" t="s">
        <v>98</v>
      </c>
      <c r="E249" s="114"/>
    </row>
    <row r="250" spans="1:6" x14ac:dyDescent="0.4">
      <c r="A250" s="114" t="s">
        <v>494</v>
      </c>
      <c r="B250" s="115"/>
      <c r="C250" s="114" t="s">
        <v>512</v>
      </c>
      <c r="D250" s="114">
        <v>99</v>
      </c>
      <c r="E250" s="114" t="s">
        <v>388</v>
      </c>
      <c r="F250" s="34" t="str">
        <f>"冷房_"&amp;C250</f>
        <v>冷房_設計風量</v>
      </c>
    </row>
    <row r="251" spans="1:6" x14ac:dyDescent="0.4">
      <c r="A251" s="118" t="s">
        <v>520</v>
      </c>
      <c r="B251" s="119" t="s">
        <v>513</v>
      </c>
      <c r="C251" s="118" t="s">
        <v>521</v>
      </c>
      <c r="D251" s="118" t="s">
        <v>522</v>
      </c>
      <c r="E251" s="118"/>
      <c r="F251" s="34" t="str">
        <f>"換気_"&amp;C251</f>
        <v>換気_換気設備の方式</v>
      </c>
    </row>
    <row r="252" spans="1:6" x14ac:dyDescent="0.4">
      <c r="A252" s="118" t="s">
        <v>520</v>
      </c>
      <c r="B252" s="119"/>
      <c r="C252" s="118"/>
      <c r="D252" s="118" t="s">
        <v>523</v>
      </c>
      <c r="E252" s="118"/>
    </row>
    <row r="253" spans="1:6" x14ac:dyDescent="0.4">
      <c r="A253" s="118" t="s">
        <v>520</v>
      </c>
      <c r="B253" s="119"/>
      <c r="C253" s="118"/>
      <c r="D253" s="118" t="s">
        <v>524</v>
      </c>
      <c r="E253" s="118"/>
    </row>
    <row r="254" spans="1:6" x14ac:dyDescent="0.4">
      <c r="A254" s="118" t="s">
        <v>520</v>
      </c>
      <c r="B254" s="119"/>
      <c r="C254" s="118"/>
      <c r="D254" s="118" t="s">
        <v>525</v>
      </c>
      <c r="E254" s="118"/>
    </row>
    <row r="255" spans="1:6" x14ac:dyDescent="0.4">
      <c r="A255" s="118" t="s">
        <v>520</v>
      </c>
      <c r="B255" s="119"/>
      <c r="C255" s="118"/>
      <c r="D255" s="118" t="s">
        <v>96</v>
      </c>
      <c r="E255" s="118"/>
    </row>
    <row r="256" spans="1:6" x14ac:dyDescent="0.4">
      <c r="A256" s="118" t="s">
        <v>520</v>
      </c>
      <c r="B256" s="119" t="s">
        <v>514</v>
      </c>
      <c r="C256" s="118" t="s">
        <v>526</v>
      </c>
      <c r="D256" s="118" t="s">
        <v>527</v>
      </c>
      <c r="E256" s="118"/>
      <c r="F256" s="34" t="str">
        <f>"換気_"&amp;C256</f>
        <v>換気_比消費電力の入力</v>
      </c>
    </row>
    <row r="257" spans="1:6" x14ac:dyDescent="0.4">
      <c r="A257" s="118" t="s">
        <v>520</v>
      </c>
      <c r="B257" s="119"/>
      <c r="C257" s="118"/>
      <c r="D257" s="118" t="s">
        <v>528</v>
      </c>
      <c r="E257" s="118"/>
    </row>
    <row r="258" spans="1:6" x14ac:dyDescent="0.4">
      <c r="A258" s="118" t="s">
        <v>520</v>
      </c>
      <c r="B258" s="119"/>
      <c r="C258" s="118"/>
      <c r="D258" s="118" t="s">
        <v>98</v>
      </c>
      <c r="E258" s="118"/>
    </row>
    <row r="259" spans="1:6" x14ac:dyDescent="0.4">
      <c r="A259" s="118" t="s">
        <v>520</v>
      </c>
      <c r="B259" s="119"/>
      <c r="C259" s="118" t="s">
        <v>536</v>
      </c>
      <c r="D259" s="118" t="s">
        <v>537</v>
      </c>
      <c r="E259" s="118"/>
      <c r="F259" s="34" t="str">
        <f>"換気_"&amp;C259</f>
        <v>換気_省エネルギー手法</v>
      </c>
    </row>
    <row r="260" spans="1:6" x14ac:dyDescent="0.4">
      <c r="A260" s="118" t="s">
        <v>520</v>
      </c>
      <c r="B260" s="119"/>
      <c r="C260" s="118"/>
      <c r="D260" s="118" t="s">
        <v>538</v>
      </c>
      <c r="E260" s="118"/>
    </row>
    <row r="261" spans="1:6" x14ac:dyDescent="0.4">
      <c r="A261" s="118" t="s">
        <v>520</v>
      </c>
      <c r="B261" s="119"/>
      <c r="C261" s="118" t="s">
        <v>539</v>
      </c>
      <c r="D261" s="118">
        <v>99</v>
      </c>
      <c r="E261" s="118" t="s">
        <v>540</v>
      </c>
      <c r="F261" s="34" t="str">
        <f>"換気_"&amp;C261</f>
        <v>換気_比消費電力</v>
      </c>
    </row>
    <row r="262" spans="1:6" x14ac:dyDescent="0.4">
      <c r="A262" s="118" t="s">
        <v>520</v>
      </c>
      <c r="B262" s="119" t="s">
        <v>515</v>
      </c>
      <c r="C262" s="118" t="s">
        <v>529</v>
      </c>
      <c r="D262" s="118" t="s">
        <v>530</v>
      </c>
      <c r="E262" s="118"/>
      <c r="F262" s="34" t="str">
        <f>"換気_"&amp;C262</f>
        <v>換気_換気回数</v>
      </c>
    </row>
    <row r="263" spans="1:6" x14ac:dyDescent="0.4">
      <c r="A263" s="118" t="s">
        <v>520</v>
      </c>
      <c r="B263" s="119"/>
      <c r="C263" s="118"/>
      <c r="D263" s="118" t="s">
        <v>531</v>
      </c>
      <c r="E263" s="118"/>
    </row>
    <row r="264" spans="1:6" x14ac:dyDescent="0.4">
      <c r="A264" s="118" t="s">
        <v>520</v>
      </c>
      <c r="B264" s="119"/>
      <c r="C264" s="118"/>
      <c r="D264" s="118" t="s">
        <v>532</v>
      </c>
      <c r="E264" s="118"/>
    </row>
    <row r="265" spans="1:6" x14ac:dyDescent="0.4">
      <c r="A265" s="118" t="s">
        <v>520</v>
      </c>
      <c r="B265" s="119" t="s">
        <v>516</v>
      </c>
      <c r="C265" s="118" t="s">
        <v>533</v>
      </c>
      <c r="D265" s="118" t="s">
        <v>534</v>
      </c>
      <c r="E265" s="118"/>
      <c r="F265" s="34" t="str">
        <f>"換気_"&amp;C265</f>
        <v>換気_第一種換気設備の有効換気量率の入力</v>
      </c>
    </row>
    <row r="266" spans="1:6" x14ac:dyDescent="0.4">
      <c r="A266" s="118" t="s">
        <v>520</v>
      </c>
      <c r="B266" s="119"/>
      <c r="C266" s="118"/>
      <c r="D266" s="118" t="s">
        <v>535</v>
      </c>
      <c r="E266" s="118"/>
    </row>
    <row r="267" spans="1:6" x14ac:dyDescent="0.4">
      <c r="A267" s="118" t="s">
        <v>520</v>
      </c>
      <c r="B267" s="119"/>
      <c r="C267" s="118" t="s">
        <v>541</v>
      </c>
      <c r="D267" s="118">
        <v>99</v>
      </c>
      <c r="E267" s="118" t="s">
        <v>542</v>
      </c>
      <c r="F267" s="34" t="str">
        <f>"換気_"&amp;C267</f>
        <v>換気_第一種換気設備の有効換気量率</v>
      </c>
    </row>
    <row r="268" spans="1:6" x14ac:dyDescent="0.4">
      <c r="A268" s="43" t="s">
        <v>548</v>
      </c>
      <c r="B268" s="44" t="s">
        <v>543</v>
      </c>
      <c r="C268" s="43" t="s">
        <v>549</v>
      </c>
      <c r="D268" s="43" t="s">
        <v>550</v>
      </c>
      <c r="E268" s="43"/>
      <c r="F268" s="34" t="str">
        <f t="shared" ref="F268:F274" si="0">"換気_"&amp;C268</f>
        <v>換気_熱交換型換気設備</v>
      </c>
    </row>
    <row r="269" spans="1:6" x14ac:dyDescent="0.4">
      <c r="A269" s="43" t="s">
        <v>548</v>
      </c>
      <c r="B269" s="44"/>
      <c r="C269" s="43"/>
      <c r="D269" s="43" t="s">
        <v>551</v>
      </c>
      <c r="E269" s="43"/>
    </row>
    <row r="270" spans="1:6" x14ac:dyDescent="0.4">
      <c r="A270" s="43" t="s">
        <v>548</v>
      </c>
      <c r="B270" s="44" t="s">
        <v>544</v>
      </c>
      <c r="C270" s="43" t="s">
        <v>552</v>
      </c>
      <c r="D270" s="43">
        <v>99</v>
      </c>
      <c r="E270" s="43" t="s">
        <v>78</v>
      </c>
      <c r="F270" s="34" t="str">
        <f t="shared" si="0"/>
        <v>換気_温度交換効率</v>
      </c>
    </row>
    <row r="271" spans="1:6" x14ac:dyDescent="0.4">
      <c r="A271" s="43" t="s">
        <v>548</v>
      </c>
      <c r="B271" s="44"/>
      <c r="C271" s="43" t="s">
        <v>553</v>
      </c>
      <c r="D271" s="43" t="s">
        <v>97</v>
      </c>
      <c r="E271" s="43"/>
      <c r="F271" s="34" t="str">
        <f t="shared" si="0"/>
        <v>換気_温度交換効率の補正係数の入力</v>
      </c>
    </row>
    <row r="272" spans="1:6" x14ac:dyDescent="0.4">
      <c r="A272" s="43" t="s">
        <v>548</v>
      </c>
      <c r="B272" s="44"/>
      <c r="C272" s="43"/>
      <c r="D272" s="43" t="s">
        <v>98</v>
      </c>
      <c r="E272" s="43"/>
    </row>
    <row r="273" spans="1:6" x14ac:dyDescent="0.4">
      <c r="A273" s="43" t="s">
        <v>548</v>
      </c>
      <c r="B273" s="44"/>
      <c r="C273" s="43" t="s">
        <v>554</v>
      </c>
      <c r="D273" s="43">
        <v>99</v>
      </c>
      <c r="E273" s="43" t="s">
        <v>542</v>
      </c>
      <c r="F273" s="34" t="str">
        <f t="shared" si="0"/>
        <v>換気_給気と排気の比率による温度交換効率の補正係数</v>
      </c>
    </row>
    <row r="274" spans="1:6" x14ac:dyDescent="0.4">
      <c r="A274" s="43" t="s">
        <v>548</v>
      </c>
      <c r="B274" s="44"/>
      <c r="C274" s="43" t="s">
        <v>555</v>
      </c>
      <c r="D274" s="43">
        <v>99</v>
      </c>
      <c r="E274" s="43" t="s">
        <v>542</v>
      </c>
      <c r="F274" s="34" t="str">
        <f t="shared" si="0"/>
        <v>換気_排気過多時における住宅外皮経由の漏気による温度交換効率の補正係数</v>
      </c>
    </row>
    <row r="275" spans="1:6" x14ac:dyDescent="0.4">
      <c r="A275" s="34" t="s">
        <v>606</v>
      </c>
      <c r="B275" s="45" t="s">
        <v>556</v>
      </c>
      <c r="C275" s="34" t="s">
        <v>607</v>
      </c>
      <c r="D275" s="34" t="s">
        <v>608</v>
      </c>
    </row>
    <row r="276" spans="1:6" x14ac:dyDescent="0.4">
      <c r="A276" s="34" t="s">
        <v>606</v>
      </c>
      <c r="D276" s="34" t="s">
        <v>609</v>
      </c>
    </row>
    <row r="277" spans="1:6" x14ac:dyDescent="0.4">
      <c r="A277" s="34" t="s">
        <v>606</v>
      </c>
      <c r="D277" s="34" t="s">
        <v>610</v>
      </c>
    </row>
    <row r="278" spans="1:6" x14ac:dyDescent="0.4">
      <c r="A278" s="34" t="s">
        <v>606</v>
      </c>
      <c r="B278" s="45" t="s">
        <v>557</v>
      </c>
      <c r="C278" s="34" t="s">
        <v>611</v>
      </c>
      <c r="D278" s="34" t="s">
        <v>629</v>
      </c>
    </row>
    <row r="279" spans="1:6" x14ac:dyDescent="0.4">
      <c r="A279" s="34" t="s">
        <v>606</v>
      </c>
      <c r="D279" s="34" t="s">
        <v>612</v>
      </c>
    </row>
    <row r="280" spans="1:6" x14ac:dyDescent="0.4">
      <c r="A280" s="34" t="s">
        <v>606</v>
      </c>
      <c r="D280" s="34" t="s">
        <v>613</v>
      </c>
    </row>
    <row r="281" spans="1:6" x14ac:dyDescent="0.4">
      <c r="A281" s="34" t="s">
        <v>606</v>
      </c>
      <c r="D281" s="34" t="s">
        <v>614</v>
      </c>
    </row>
    <row r="282" spans="1:6" x14ac:dyDescent="0.4">
      <c r="A282" s="34" t="s">
        <v>606</v>
      </c>
      <c r="D282" s="34" t="s">
        <v>615</v>
      </c>
    </row>
    <row r="283" spans="1:6" x14ac:dyDescent="0.4">
      <c r="A283" s="34" t="s">
        <v>606</v>
      </c>
      <c r="D283" s="34" t="s">
        <v>616</v>
      </c>
    </row>
    <row r="284" spans="1:6" x14ac:dyDescent="0.4">
      <c r="A284" s="34" t="s">
        <v>606</v>
      </c>
      <c r="D284" s="34" t="s">
        <v>617</v>
      </c>
    </row>
    <row r="285" spans="1:6" x14ac:dyDescent="0.4">
      <c r="A285" s="34" t="s">
        <v>606</v>
      </c>
      <c r="D285" s="34" t="s">
        <v>618</v>
      </c>
    </row>
    <row r="286" spans="1:6" x14ac:dyDescent="0.4">
      <c r="A286" s="34" t="s">
        <v>606</v>
      </c>
      <c r="D286" s="34" t="s">
        <v>619</v>
      </c>
    </row>
    <row r="287" spans="1:6" x14ac:dyDescent="0.4">
      <c r="A287" s="34" t="s">
        <v>606</v>
      </c>
      <c r="D287" s="34" t="s">
        <v>620</v>
      </c>
    </row>
    <row r="288" spans="1:6" x14ac:dyDescent="0.4">
      <c r="A288" s="34" t="s">
        <v>606</v>
      </c>
      <c r="D288" s="34" t="s">
        <v>621</v>
      </c>
    </row>
    <row r="289" spans="1:4" x14ac:dyDescent="0.4">
      <c r="A289" s="34" t="s">
        <v>606</v>
      </c>
      <c r="D289" s="34" t="s">
        <v>622</v>
      </c>
    </row>
    <row r="290" spans="1:4" x14ac:dyDescent="0.4">
      <c r="A290" s="34" t="s">
        <v>606</v>
      </c>
      <c r="D290" s="34" t="s">
        <v>623</v>
      </c>
    </row>
    <row r="291" spans="1:4" x14ac:dyDescent="0.4">
      <c r="A291" s="34" t="s">
        <v>606</v>
      </c>
      <c r="D291" s="34" t="s">
        <v>624</v>
      </c>
    </row>
    <row r="292" spans="1:4" x14ac:dyDescent="0.4">
      <c r="A292" s="34" t="s">
        <v>606</v>
      </c>
      <c r="D292" s="34" t="s">
        <v>625</v>
      </c>
    </row>
    <row r="293" spans="1:4" x14ac:dyDescent="0.4">
      <c r="A293" s="34" t="s">
        <v>606</v>
      </c>
      <c r="D293" s="34" t="s">
        <v>626</v>
      </c>
    </row>
    <row r="294" spans="1:4" x14ac:dyDescent="0.4">
      <c r="A294" s="34" t="s">
        <v>606</v>
      </c>
      <c r="D294" s="34" t="s">
        <v>109</v>
      </c>
    </row>
    <row r="295" spans="1:4" x14ac:dyDescent="0.4">
      <c r="A295" s="34" t="s">
        <v>606</v>
      </c>
      <c r="D295" s="34" t="s">
        <v>627</v>
      </c>
    </row>
    <row r="296" spans="1:4" x14ac:dyDescent="0.4">
      <c r="A296" s="34" t="s">
        <v>606</v>
      </c>
      <c r="D296" s="34" t="s">
        <v>96</v>
      </c>
    </row>
    <row r="297" spans="1:4" x14ac:dyDescent="0.4">
      <c r="A297" s="34" t="s">
        <v>606</v>
      </c>
      <c r="D297" s="34" t="s">
        <v>628</v>
      </c>
    </row>
    <row r="298" spans="1:4" x14ac:dyDescent="0.4">
      <c r="A298" s="34" t="s">
        <v>606</v>
      </c>
      <c r="B298" s="45" t="s">
        <v>558</v>
      </c>
      <c r="C298" s="34" t="s">
        <v>672</v>
      </c>
      <c r="D298" s="34" t="s">
        <v>97</v>
      </c>
    </row>
    <row r="299" spans="1:4" x14ac:dyDescent="0.4">
      <c r="A299" s="34" t="s">
        <v>606</v>
      </c>
      <c r="D299" s="34" t="s">
        <v>631</v>
      </c>
    </row>
    <row r="300" spans="1:4" x14ac:dyDescent="0.4">
      <c r="A300" s="34" t="s">
        <v>606</v>
      </c>
      <c r="D300" s="34" t="s">
        <v>632</v>
      </c>
    </row>
    <row r="301" spans="1:4" x14ac:dyDescent="0.4">
      <c r="C301" s="34" t="s">
        <v>673</v>
      </c>
      <c r="D301" s="34" t="s">
        <v>97</v>
      </c>
    </row>
    <row r="302" spans="1:4" x14ac:dyDescent="0.4">
      <c r="D302" s="34" t="s">
        <v>648</v>
      </c>
    </row>
    <row r="303" spans="1:4" x14ac:dyDescent="0.4">
      <c r="D303" s="34" t="s">
        <v>632</v>
      </c>
    </row>
    <row r="304" spans="1:4" x14ac:dyDescent="0.4">
      <c r="C304" s="34" t="s">
        <v>649</v>
      </c>
      <c r="D304" s="34" t="s">
        <v>650</v>
      </c>
    </row>
    <row r="305" spans="3:4" x14ac:dyDescent="0.4">
      <c r="D305" s="34" t="s">
        <v>651</v>
      </c>
    </row>
    <row r="306" spans="3:4" x14ac:dyDescent="0.4">
      <c r="D306" s="34" t="s">
        <v>652</v>
      </c>
    </row>
    <row r="307" spans="3:4" x14ac:dyDescent="0.4">
      <c r="D307" s="34" t="s">
        <v>653</v>
      </c>
    </row>
    <row r="312" spans="3:4" x14ac:dyDescent="0.4">
      <c r="C312" s="34" t="s">
        <v>654</v>
      </c>
      <c r="D312" s="34" t="s">
        <v>655</v>
      </c>
    </row>
    <row r="313" spans="3:4" x14ac:dyDescent="0.4">
      <c r="D313" s="34" t="s">
        <v>656</v>
      </c>
    </row>
    <row r="314" spans="3:4" x14ac:dyDescent="0.4">
      <c r="C314" s="34" t="s">
        <v>657</v>
      </c>
      <c r="D314" s="34" t="s">
        <v>658</v>
      </c>
    </row>
    <row r="315" spans="3:4" x14ac:dyDescent="0.4">
      <c r="D315" s="34" t="s">
        <v>659</v>
      </c>
    </row>
    <row r="316" spans="3:4" x14ac:dyDescent="0.4">
      <c r="C316" s="34" t="s">
        <v>630</v>
      </c>
      <c r="D316" s="34" t="s">
        <v>97</v>
      </c>
    </row>
    <row r="317" spans="3:4" x14ac:dyDescent="0.4">
      <c r="D317" s="34" t="s">
        <v>660</v>
      </c>
    </row>
    <row r="318" spans="3:4" x14ac:dyDescent="0.4">
      <c r="D318" s="34" t="s">
        <v>661</v>
      </c>
    </row>
    <row r="319" spans="3:4" x14ac:dyDescent="0.4">
      <c r="C319" s="34" t="s">
        <v>630</v>
      </c>
      <c r="D319" s="34" t="s">
        <v>97</v>
      </c>
    </row>
    <row r="320" spans="3:4" x14ac:dyDescent="0.4">
      <c r="D320" s="34" t="s">
        <v>662</v>
      </c>
    </row>
    <row r="321" spans="3:4" x14ac:dyDescent="0.4">
      <c r="D321" s="34" t="s">
        <v>661</v>
      </c>
    </row>
    <row r="322" spans="3:4" x14ac:dyDescent="0.4">
      <c r="C322" s="34" t="s">
        <v>630</v>
      </c>
      <c r="D322" s="34" t="s">
        <v>97</v>
      </c>
    </row>
    <row r="323" spans="3:4" x14ac:dyDescent="0.4">
      <c r="D323" s="34" t="s">
        <v>663</v>
      </c>
    </row>
    <row r="324" spans="3:4" x14ac:dyDescent="0.4">
      <c r="D324" s="34" t="s">
        <v>664</v>
      </c>
    </row>
    <row r="325" spans="3:4" x14ac:dyDescent="0.4">
      <c r="C325" s="34" t="s">
        <v>665</v>
      </c>
      <c r="D325" s="34" t="s">
        <v>666</v>
      </c>
    </row>
    <row r="326" spans="3:4" x14ac:dyDescent="0.4">
      <c r="D326" s="34" t="s">
        <v>667</v>
      </c>
    </row>
    <row r="327" spans="3:4" x14ac:dyDescent="0.4">
      <c r="C327" s="34" t="s">
        <v>668</v>
      </c>
      <c r="D327" s="34" t="s">
        <v>669</v>
      </c>
    </row>
    <row r="328" spans="3:4" x14ac:dyDescent="0.4">
      <c r="D328" s="34" t="s">
        <v>652</v>
      </c>
    </row>
    <row r="329" spans="3:4" x14ac:dyDescent="0.4">
      <c r="D329" s="34" t="s">
        <v>653</v>
      </c>
    </row>
    <row r="330" spans="3:4" x14ac:dyDescent="0.4">
      <c r="C330" s="34" t="s">
        <v>670</v>
      </c>
      <c r="D330" s="34" t="s">
        <v>671</v>
      </c>
    </row>
    <row r="338" spans="1:4" x14ac:dyDescent="0.4">
      <c r="A338" s="34" t="s">
        <v>606</v>
      </c>
      <c r="B338" s="45" t="s">
        <v>559</v>
      </c>
      <c r="C338" s="34" t="s">
        <v>633</v>
      </c>
      <c r="D338" s="34" t="s">
        <v>634</v>
      </c>
    </row>
    <row r="339" spans="1:4" x14ac:dyDescent="0.4">
      <c r="A339" s="34" t="s">
        <v>606</v>
      </c>
      <c r="D339" s="34" t="s">
        <v>635</v>
      </c>
    </row>
    <row r="340" spans="1:4" x14ac:dyDescent="0.4">
      <c r="A340" s="34" t="s">
        <v>606</v>
      </c>
      <c r="D340" s="34" t="s">
        <v>636</v>
      </c>
    </row>
    <row r="341" spans="1:4" x14ac:dyDescent="0.4">
      <c r="A341" s="34" t="s">
        <v>606</v>
      </c>
      <c r="B341" s="45" t="s">
        <v>560</v>
      </c>
      <c r="C341" s="34" t="s">
        <v>639</v>
      </c>
      <c r="D341" s="34" t="s">
        <v>637</v>
      </c>
    </row>
    <row r="342" spans="1:4" x14ac:dyDescent="0.4">
      <c r="A342" s="34" t="s">
        <v>606</v>
      </c>
      <c r="D342" s="34" t="s">
        <v>638</v>
      </c>
    </row>
    <row r="343" spans="1:4" x14ac:dyDescent="0.4">
      <c r="A343" s="34" t="s">
        <v>606</v>
      </c>
      <c r="B343" s="45" t="s">
        <v>561</v>
      </c>
      <c r="C343" s="34" t="s">
        <v>640</v>
      </c>
      <c r="D343" s="34" t="s">
        <v>643</v>
      </c>
    </row>
    <row r="344" spans="1:4" x14ac:dyDescent="0.4">
      <c r="A344" s="34" t="s">
        <v>606</v>
      </c>
      <c r="D344" s="34" t="s">
        <v>644</v>
      </c>
    </row>
    <row r="345" spans="1:4" x14ac:dyDescent="0.4">
      <c r="A345" s="34" t="s">
        <v>606</v>
      </c>
      <c r="C345" s="34" t="s">
        <v>641</v>
      </c>
      <c r="D345" s="34" t="s">
        <v>643</v>
      </c>
    </row>
    <row r="346" spans="1:4" x14ac:dyDescent="0.4">
      <c r="A346" s="34" t="s">
        <v>606</v>
      </c>
      <c r="D346" s="34" t="s">
        <v>644</v>
      </c>
    </row>
    <row r="347" spans="1:4" x14ac:dyDescent="0.4">
      <c r="A347" s="34" t="s">
        <v>606</v>
      </c>
      <c r="C347" s="34" t="s">
        <v>642</v>
      </c>
      <c r="D347" s="34" t="s">
        <v>643</v>
      </c>
    </row>
    <row r="348" spans="1:4" x14ac:dyDescent="0.4">
      <c r="A348" s="34" t="s">
        <v>606</v>
      </c>
      <c r="D348" s="34" t="s">
        <v>644</v>
      </c>
    </row>
    <row r="349" spans="1:4" x14ac:dyDescent="0.4">
      <c r="A349" s="34" t="s">
        <v>606</v>
      </c>
      <c r="B349" s="45" t="s">
        <v>562</v>
      </c>
      <c r="C349" s="34" t="s">
        <v>645</v>
      </c>
      <c r="D349" s="34" t="s">
        <v>646</v>
      </c>
    </row>
    <row r="350" spans="1:4" x14ac:dyDescent="0.4">
      <c r="A350" s="34" t="s">
        <v>606</v>
      </c>
      <c r="D350" s="34" t="s">
        <v>647</v>
      </c>
    </row>
    <row r="355" spans="1:6" x14ac:dyDescent="0.4">
      <c r="A355" s="43" t="s">
        <v>683</v>
      </c>
      <c r="B355" s="44" t="s">
        <v>674</v>
      </c>
      <c r="C355" s="43" t="s">
        <v>687</v>
      </c>
      <c r="D355" s="43" t="s">
        <v>94</v>
      </c>
      <c r="E355" s="43"/>
      <c r="F355" s="34" t="str">
        <f>"照明_"&amp;C355</f>
        <v>照明_主たる居室の照明設備</v>
      </c>
    </row>
    <row r="356" spans="1:6" x14ac:dyDescent="0.4">
      <c r="A356" s="43" t="s">
        <v>683</v>
      </c>
      <c r="B356" s="44"/>
      <c r="C356" s="43"/>
      <c r="D356" s="43" t="s">
        <v>551</v>
      </c>
      <c r="E356" s="43"/>
    </row>
    <row r="357" spans="1:6" x14ac:dyDescent="0.4">
      <c r="A357" s="43" t="s">
        <v>683</v>
      </c>
      <c r="B357" s="44"/>
      <c r="C357" s="43" t="s">
        <v>688</v>
      </c>
      <c r="D357" s="43" t="s">
        <v>684</v>
      </c>
      <c r="E357" s="43"/>
      <c r="F357" s="34" t="str">
        <f>"照明_"&amp;C357</f>
        <v>照明_照明器具の種類_主たる居室</v>
      </c>
    </row>
    <row r="358" spans="1:6" x14ac:dyDescent="0.4">
      <c r="A358" s="43" t="s">
        <v>683</v>
      </c>
      <c r="B358" s="44"/>
      <c r="C358" s="43"/>
      <c r="D358" s="43" t="s">
        <v>685</v>
      </c>
      <c r="E358" s="43"/>
    </row>
    <row r="359" spans="1:6" x14ac:dyDescent="0.4">
      <c r="A359" s="43" t="s">
        <v>683</v>
      </c>
      <c r="B359" s="44"/>
      <c r="C359" s="43"/>
      <c r="D359" s="43" t="s">
        <v>686</v>
      </c>
      <c r="E359" s="43"/>
    </row>
    <row r="360" spans="1:6" x14ac:dyDescent="0.4">
      <c r="A360" s="43" t="s">
        <v>683</v>
      </c>
      <c r="B360" s="44"/>
      <c r="C360" s="43"/>
      <c r="D360" s="43" t="s">
        <v>96</v>
      </c>
      <c r="E360" s="43"/>
    </row>
    <row r="361" spans="1:6" x14ac:dyDescent="0.4">
      <c r="A361" s="43" t="s">
        <v>683</v>
      </c>
      <c r="B361" s="44"/>
      <c r="C361" s="43" t="s">
        <v>691</v>
      </c>
      <c r="D361" s="43" t="s">
        <v>114</v>
      </c>
      <c r="E361" s="43"/>
      <c r="F361" s="34" t="str">
        <f>"照明_"&amp;C361</f>
        <v>照明_多灯分散照明方式_主たる居室</v>
      </c>
    </row>
    <row r="362" spans="1:6" x14ac:dyDescent="0.4">
      <c r="A362" s="43" t="s">
        <v>683</v>
      </c>
      <c r="B362" s="44"/>
      <c r="C362" s="43"/>
      <c r="D362" s="43" t="s">
        <v>115</v>
      </c>
      <c r="E362" s="43"/>
    </row>
    <row r="363" spans="1:6" x14ac:dyDescent="0.4">
      <c r="A363" s="43" t="s">
        <v>683</v>
      </c>
      <c r="B363" s="44"/>
      <c r="C363" s="43" t="s">
        <v>692</v>
      </c>
      <c r="D363" s="43" t="s">
        <v>114</v>
      </c>
      <c r="E363" s="43"/>
      <c r="F363" s="34" t="str">
        <f>"照明_"&amp;C363</f>
        <v>照明_調光が可能な制御_主たる居室</v>
      </c>
    </row>
    <row r="364" spans="1:6" x14ac:dyDescent="0.4">
      <c r="A364" s="46" t="s">
        <v>683</v>
      </c>
      <c r="B364" s="47"/>
      <c r="C364" s="46"/>
      <c r="D364" s="46" t="s">
        <v>115</v>
      </c>
      <c r="E364" s="46"/>
    </row>
    <row r="365" spans="1:6" x14ac:dyDescent="0.4">
      <c r="A365" s="43" t="s">
        <v>683</v>
      </c>
      <c r="B365" s="44" t="s">
        <v>675</v>
      </c>
      <c r="C365" s="43" t="s">
        <v>689</v>
      </c>
      <c r="D365" s="43" t="s">
        <v>94</v>
      </c>
      <c r="E365" s="43"/>
      <c r="F365" s="34" t="str">
        <f>"照明_"&amp;C365</f>
        <v>照明_その他の居室の照明設備</v>
      </c>
    </row>
    <row r="366" spans="1:6" x14ac:dyDescent="0.4">
      <c r="A366" s="43" t="s">
        <v>683</v>
      </c>
      <c r="B366" s="43"/>
      <c r="C366" s="43"/>
      <c r="D366" s="43" t="s">
        <v>551</v>
      </c>
      <c r="E366" s="43"/>
    </row>
    <row r="367" spans="1:6" x14ac:dyDescent="0.4">
      <c r="A367" s="43" t="s">
        <v>683</v>
      </c>
      <c r="B367" s="44"/>
      <c r="C367" s="43" t="s">
        <v>690</v>
      </c>
      <c r="D367" s="43" t="s">
        <v>684</v>
      </c>
      <c r="E367" s="43"/>
      <c r="F367" s="34" t="str">
        <f>"照明_"&amp;C367</f>
        <v>照明_照明器具の種類_その他の居室</v>
      </c>
    </row>
    <row r="368" spans="1:6" x14ac:dyDescent="0.4">
      <c r="A368" s="43" t="s">
        <v>683</v>
      </c>
      <c r="B368" s="44"/>
      <c r="C368" s="43"/>
      <c r="D368" s="43" t="s">
        <v>685</v>
      </c>
      <c r="E368" s="43"/>
    </row>
    <row r="369" spans="1:6" x14ac:dyDescent="0.4">
      <c r="A369" s="43" t="s">
        <v>683</v>
      </c>
      <c r="B369" s="44"/>
      <c r="C369" s="43"/>
      <c r="D369" s="43" t="s">
        <v>686</v>
      </c>
      <c r="E369" s="43"/>
    </row>
    <row r="370" spans="1:6" x14ac:dyDescent="0.4">
      <c r="A370" s="43" t="s">
        <v>683</v>
      </c>
      <c r="B370" s="44"/>
      <c r="C370" s="43"/>
      <c r="D370" s="43" t="s">
        <v>96</v>
      </c>
      <c r="E370" s="43"/>
    </row>
    <row r="371" spans="1:6" x14ac:dyDescent="0.4">
      <c r="A371" s="43" t="s">
        <v>683</v>
      </c>
      <c r="B371" s="44"/>
      <c r="C371" s="43" t="s">
        <v>693</v>
      </c>
      <c r="D371" s="43" t="s">
        <v>114</v>
      </c>
      <c r="E371" s="43"/>
      <c r="F371" s="34" t="str">
        <f>"照明_"&amp;C371</f>
        <v>照明_調光が可能な制御_その他の居室</v>
      </c>
    </row>
    <row r="372" spans="1:6" x14ac:dyDescent="0.4">
      <c r="A372" s="46" t="s">
        <v>683</v>
      </c>
      <c r="B372" s="47"/>
      <c r="C372" s="46"/>
      <c r="D372" s="46" t="s">
        <v>115</v>
      </c>
      <c r="E372" s="46"/>
    </row>
    <row r="373" spans="1:6" x14ac:dyDescent="0.4">
      <c r="A373" s="43" t="s">
        <v>683</v>
      </c>
      <c r="B373" s="44" t="s">
        <v>676</v>
      </c>
      <c r="C373" s="43" t="s">
        <v>694</v>
      </c>
      <c r="D373" s="43" t="s">
        <v>94</v>
      </c>
      <c r="E373" s="43"/>
      <c r="F373" s="34" t="str">
        <f>"照明_"&amp;C373</f>
        <v>照明_非居室の照明設備</v>
      </c>
    </row>
    <row r="374" spans="1:6" x14ac:dyDescent="0.4">
      <c r="A374" s="43" t="s">
        <v>683</v>
      </c>
      <c r="B374" s="44"/>
      <c r="C374" s="43"/>
      <c r="D374" s="43" t="s">
        <v>551</v>
      </c>
      <c r="E374" s="43"/>
    </row>
    <row r="375" spans="1:6" x14ac:dyDescent="0.4">
      <c r="A375" s="43" t="s">
        <v>683</v>
      </c>
      <c r="B375" s="44"/>
      <c r="C375" s="43" t="s">
        <v>695</v>
      </c>
      <c r="D375" s="43" t="s">
        <v>684</v>
      </c>
      <c r="E375" s="43"/>
      <c r="F375" s="34" t="str">
        <f>"照明_"&amp;C375</f>
        <v>照明_照明器具の種類_非居室</v>
      </c>
    </row>
    <row r="376" spans="1:6" x14ac:dyDescent="0.4">
      <c r="A376" s="43" t="s">
        <v>683</v>
      </c>
      <c r="B376" s="44"/>
      <c r="C376" s="43"/>
      <c r="D376" s="43" t="s">
        <v>685</v>
      </c>
      <c r="E376" s="43"/>
    </row>
    <row r="377" spans="1:6" x14ac:dyDescent="0.4">
      <c r="A377" s="43" t="s">
        <v>683</v>
      </c>
      <c r="B377" s="44"/>
      <c r="C377" s="43"/>
      <c r="D377" s="43" t="s">
        <v>686</v>
      </c>
      <c r="E377" s="43"/>
    </row>
    <row r="378" spans="1:6" x14ac:dyDescent="0.4">
      <c r="A378" s="46" t="s">
        <v>683</v>
      </c>
      <c r="B378" s="47"/>
      <c r="C378" s="46"/>
      <c r="D378" s="46" t="s">
        <v>96</v>
      </c>
      <c r="E378" s="46"/>
    </row>
    <row r="379" spans="1:6" x14ac:dyDescent="0.4">
      <c r="A379" s="118" t="s">
        <v>714</v>
      </c>
      <c r="B379" s="119" t="s">
        <v>715</v>
      </c>
      <c r="C379" s="118" t="s">
        <v>757</v>
      </c>
      <c r="D379" s="118" t="s">
        <v>94</v>
      </c>
      <c r="E379" s="118"/>
      <c r="F379" s="34" t="str">
        <f>"太陽光_"&amp;C379</f>
        <v>太陽光_太陽光発電設備</v>
      </c>
    </row>
    <row r="380" spans="1:6" x14ac:dyDescent="0.4">
      <c r="A380" s="118" t="s">
        <v>714</v>
      </c>
      <c r="B380" s="119"/>
      <c r="C380" s="120"/>
      <c r="D380" s="120" t="s">
        <v>551</v>
      </c>
      <c r="E380" s="120"/>
    </row>
    <row r="381" spans="1:6" x14ac:dyDescent="0.4">
      <c r="A381" s="118" t="s">
        <v>714</v>
      </c>
      <c r="B381" s="119"/>
      <c r="C381" s="118" t="s">
        <v>758</v>
      </c>
      <c r="D381" s="118" t="s">
        <v>99</v>
      </c>
      <c r="E381" s="118"/>
      <c r="F381" s="34" t="str">
        <f t="shared" ref="F380:F443" si="1">"太陽光_"&amp;C381</f>
        <v>太陽光_発電の評価</v>
      </c>
    </row>
    <row r="382" spans="1:6" x14ac:dyDescent="0.4">
      <c r="A382" s="118" t="s">
        <v>714</v>
      </c>
      <c r="B382" s="119"/>
      <c r="C382" s="120"/>
      <c r="D382" s="120" t="s">
        <v>724</v>
      </c>
      <c r="E382" s="120"/>
    </row>
    <row r="383" spans="1:6" x14ac:dyDescent="0.4">
      <c r="A383" s="118" t="s">
        <v>714</v>
      </c>
      <c r="B383" s="119"/>
      <c r="C383" s="118" t="s">
        <v>759</v>
      </c>
      <c r="D383" s="118" t="s">
        <v>725</v>
      </c>
      <c r="E383" s="118"/>
      <c r="F383" s="34" t="str">
        <f t="shared" si="1"/>
        <v>太陽光_方位の異なるパネルの面数</v>
      </c>
    </row>
    <row r="384" spans="1:6" x14ac:dyDescent="0.4">
      <c r="A384" s="118" t="s">
        <v>714</v>
      </c>
      <c r="B384" s="119"/>
      <c r="C384" s="118"/>
      <c r="D384" s="118" t="s">
        <v>726</v>
      </c>
      <c r="E384" s="118"/>
    </row>
    <row r="385" spans="1:6" x14ac:dyDescent="0.4">
      <c r="A385" s="118" t="s">
        <v>714</v>
      </c>
      <c r="B385" s="119"/>
      <c r="C385" s="118"/>
      <c r="D385" s="118" t="s">
        <v>727</v>
      </c>
      <c r="E385" s="118"/>
    </row>
    <row r="386" spans="1:6" x14ac:dyDescent="0.4">
      <c r="A386" s="118" t="s">
        <v>714</v>
      </c>
      <c r="B386" s="119"/>
      <c r="C386" s="120"/>
      <c r="D386" s="120" t="s">
        <v>728</v>
      </c>
      <c r="E386" s="120"/>
    </row>
    <row r="387" spans="1:6" x14ac:dyDescent="0.4">
      <c r="A387" s="118" t="s">
        <v>714</v>
      </c>
      <c r="B387" s="119"/>
      <c r="C387" s="118" t="s">
        <v>760</v>
      </c>
      <c r="D387" s="118" t="s">
        <v>97</v>
      </c>
      <c r="E387" s="118"/>
      <c r="F387" s="34" t="str">
        <f t="shared" si="1"/>
        <v>太陽光_パワーコンディショナの定格負荷効率の入力</v>
      </c>
    </row>
    <row r="388" spans="1:6" x14ac:dyDescent="0.4">
      <c r="A388" s="118" t="s">
        <v>714</v>
      </c>
      <c r="B388" s="119"/>
      <c r="C388" s="120"/>
      <c r="D388" s="120" t="s">
        <v>98</v>
      </c>
      <c r="E388" s="120"/>
    </row>
    <row r="389" spans="1:6" x14ac:dyDescent="0.4">
      <c r="A389" s="120" t="s">
        <v>714</v>
      </c>
      <c r="B389" s="121"/>
      <c r="C389" s="120" t="s">
        <v>761</v>
      </c>
      <c r="D389" s="120">
        <v>99</v>
      </c>
      <c r="E389" s="120" t="s">
        <v>132</v>
      </c>
      <c r="F389" s="34" t="str">
        <f t="shared" si="1"/>
        <v>太陽光_パワーコンディショナの定格負荷効率</v>
      </c>
    </row>
    <row r="390" spans="1:6" x14ac:dyDescent="0.4">
      <c r="A390" s="118" t="s">
        <v>714</v>
      </c>
      <c r="B390" s="119" t="s">
        <v>716</v>
      </c>
      <c r="C390" s="120" t="s">
        <v>766</v>
      </c>
      <c r="D390" s="120">
        <v>99</v>
      </c>
      <c r="E390" s="120" t="s">
        <v>729</v>
      </c>
      <c r="F390" s="34" t="str">
        <f t="shared" si="1"/>
        <v>太陽光_太陽電池アレイのシステム容量_パネル1</v>
      </c>
    </row>
    <row r="391" spans="1:6" x14ac:dyDescent="0.4">
      <c r="A391" s="118" t="s">
        <v>714</v>
      </c>
      <c r="B391" s="119"/>
      <c r="C391" s="118" t="s">
        <v>762</v>
      </c>
      <c r="D391" s="118" t="s">
        <v>730</v>
      </c>
      <c r="E391" s="118"/>
      <c r="F391" s="34" t="str">
        <f t="shared" si="1"/>
        <v>太陽光_太陽電池アレイの種類_パネル1</v>
      </c>
    </row>
    <row r="392" spans="1:6" x14ac:dyDescent="0.4">
      <c r="A392" s="118" t="s">
        <v>714</v>
      </c>
      <c r="B392" s="119"/>
      <c r="C392" s="120"/>
      <c r="D392" s="120" t="s">
        <v>731</v>
      </c>
      <c r="E392" s="120"/>
    </row>
    <row r="393" spans="1:6" x14ac:dyDescent="0.4">
      <c r="A393" s="118" t="s">
        <v>714</v>
      </c>
      <c r="B393" s="119"/>
      <c r="C393" s="118" t="s">
        <v>763</v>
      </c>
      <c r="D393" s="118" t="s">
        <v>732</v>
      </c>
      <c r="E393" s="118"/>
      <c r="F393" s="34" t="str">
        <f t="shared" si="1"/>
        <v>太陽光_太陽電池アレイ設置方式_パネル1</v>
      </c>
    </row>
    <row r="394" spans="1:6" x14ac:dyDescent="0.4">
      <c r="A394" s="118" t="s">
        <v>714</v>
      </c>
      <c r="B394" s="119"/>
      <c r="C394" s="118"/>
      <c r="D394" s="118" t="s">
        <v>733</v>
      </c>
      <c r="E394" s="118"/>
    </row>
    <row r="395" spans="1:6" x14ac:dyDescent="0.4">
      <c r="A395" s="118" t="s">
        <v>714</v>
      </c>
      <c r="B395" s="119"/>
      <c r="C395" s="120"/>
      <c r="D395" s="120" t="s">
        <v>734</v>
      </c>
      <c r="E395" s="120"/>
    </row>
    <row r="396" spans="1:6" x14ac:dyDescent="0.4">
      <c r="A396" s="118" t="s">
        <v>714</v>
      </c>
      <c r="B396" s="119"/>
      <c r="C396" s="118" t="s">
        <v>764</v>
      </c>
      <c r="D396" s="118" t="s">
        <v>735</v>
      </c>
      <c r="E396" s="118"/>
      <c r="F396" s="34" t="str">
        <f t="shared" si="1"/>
        <v>太陽光_パネルの設置方位角_パネル1</v>
      </c>
    </row>
    <row r="397" spans="1:6" x14ac:dyDescent="0.4">
      <c r="A397" s="118" t="s">
        <v>714</v>
      </c>
      <c r="B397" s="118"/>
      <c r="C397" s="118"/>
      <c r="D397" s="118" t="s">
        <v>736</v>
      </c>
      <c r="E397" s="118"/>
    </row>
    <row r="398" spans="1:6" x14ac:dyDescent="0.4">
      <c r="A398" s="118" t="s">
        <v>714</v>
      </c>
      <c r="B398" s="119"/>
      <c r="C398" s="118"/>
      <c r="D398" s="118" t="s">
        <v>737</v>
      </c>
      <c r="E398" s="118"/>
    </row>
    <row r="399" spans="1:6" x14ac:dyDescent="0.4">
      <c r="A399" s="118" t="s">
        <v>714</v>
      </c>
      <c r="B399" s="118"/>
      <c r="C399" s="118"/>
      <c r="D399" s="118" t="s">
        <v>738</v>
      </c>
      <c r="E399" s="118"/>
    </row>
    <row r="400" spans="1:6" x14ac:dyDescent="0.4">
      <c r="A400" s="118" t="s">
        <v>714</v>
      </c>
      <c r="B400" s="118"/>
      <c r="C400" s="118"/>
      <c r="D400" s="118" t="s">
        <v>739</v>
      </c>
      <c r="E400" s="118"/>
    </row>
    <row r="401" spans="1:6" x14ac:dyDescent="0.4">
      <c r="A401" s="118" t="s">
        <v>714</v>
      </c>
      <c r="B401" s="118"/>
      <c r="C401" s="118"/>
      <c r="D401" s="118" t="s">
        <v>740</v>
      </c>
      <c r="E401" s="118"/>
    </row>
    <row r="402" spans="1:6" x14ac:dyDescent="0.4">
      <c r="A402" s="118" t="s">
        <v>714</v>
      </c>
      <c r="B402" s="118"/>
      <c r="C402" s="118"/>
      <c r="D402" s="118" t="s">
        <v>741</v>
      </c>
      <c r="E402" s="118"/>
    </row>
    <row r="403" spans="1:6" x14ac:dyDescent="0.4">
      <c r="A403" s="118" t="s">
        <v>714</v>
      </c>
      <c r="B403" s="119"/>
      <c r="C403" s="118"/>
      <c r="D403" s="118" t="s">
        <v>742</v>
      </c>
      <c r="E403" s="118"/>
    </row>
    <row r="404" spans="1:6" x14ac:dyDescent="0.4">
      <c r="A404" s="118" t="s">
        <v>714</v>
      </c>
      <c r="B404" s="119"/>
      <c r="C404" s="118"/>
      <c r="D404" s="118" t="s">
        <v>743</v>
      </c>
      <c r="E404" s="118"/>
    </row>
    <row r="405" spans="1:6" x14ac:dyDescent="0.4">
      <c r="A405" s="118" t="s">
        <v>714</v>
      </c>
      <c r="B405" s="119"/>
      <c r="C405" s="118"/>
      <c r="D405" s="118" t="s">
        <v>744</v>
      </c>
      <c r="E405" s="118"/>
    </row>
    <row r="406" spans="1:6" x14ac:dyDescent="0.4">
      <c r="A406" s="118" t="s">
        <v>714</v>
      </c>
      <c r="B406" s="119"/>
      <c r="C406" s="118"/>
      <c r="D406" s="118" t="s">
        <v>745</v>
      </c>
      <c r="E406" s="118"/>
    </row>
    <row r="407" spans="1:6" x14ac:dyDescent="0.4">
      <c r="A407" s="118" t="s">
        <v>714</v>
      </c>
      <c r="B407" s="119"/>
      <c r="C407" s="120"/>
      <c r="D407" s="120" t="s">
        <v>746</v>
      </c>
      <c r="E407" s="120"/>
    </row>
    <row r="408" spans="1:6" x14ac:dyDescent="0.4">
      <c r="A408" s="118" t="s">
        <v>714</v>
      </c>
      <c r="B408" s="119"/>
      <c r="C408" s="118" t="s">
        <v>765</v>
      </c>
      <c r="D408" s="118" t="s">
        <v>747</v>
      </c>
      <c r="E408" s="118"/>
      <c r="F408" s="34" t="str">
        <f t="shared" si="1"/>
        <v>太陽光_パネル設置傾斜角_パネル1</v>
      </c>
    </row>
    <row r="409" spans="1:6" x14ac:dyDescent="0.4">
      <c r="A409" s="118" t="s">
        <v>714</v>
      </c>
      <c r="B409" s="119"/>
      <c r="C409" s="118"/>
      <c r="D409" s="118" t="s">
        <v>748</v>
      </c>
      <c r="E409" s="118"/>
    </row>
    <row r="410" spans="1:6" x14ac:dyDescent="0.4">
      <c r="A410" s="118" t="s">
        <v>714</v>
      </c>
      <c r="B410" s="119"/>
      <c r="C410" s="118"/>
      <c r="D410" s="118" t="s">
        <v>749</v>
      </c>
      <c r="E410" s="118"/>
    </row>
    <row r="411" spans="1:6" x14ac:dyDescent="0.4">
      <c r="A411" s="118" t="s">
        <v>714</v>
      </c>
      <c r="B411" s="119"/>
      <c r="C411" s="118"/>
      <c r="D411" s="118" t="s">
        <v>750</v>
      </c>
      <c r="E411" s="118"/>
    </row>
    <row r="412" spans="1:6" x14ac:dyDescent="0.4">
      <c r="A412" s="118" t="s">
        <v>714</v>
      </c>
      <c r="B412" s="119"/>
      <c r="C412" s="118"/>
      <c r="D412" s="118" t="s">
        <v>751</v>
      </c>
      <c r="E412" s="118"/>
    </row>
    <row r="413" spans="1:6" x14ac:dyDescent="0.4">
      <c r="A413" s="118" t="s">
        <v>714</v>
      </c>
      <c r="B413" s="118"/>
      <c r="C413" s="118"/>
      <c r="D413" s="118" t="s">
        <v>752</v>
      </c>
      <c r="E413" s="118"/>
    </row>
    <row r="414" spans="1:6" x14ac:dyDescent="0.4">
      <c r="A414" s="118" t="s">
        <v>714</v>
      </c>
      <c r="B414" s="119"/>
      <c r="C414" s="118"/>
      <c r="D414" s="118" t="s">
        <v>753</v>
      </c>
      <c r="E414" s="118"/>
    </row>
    <row r="415" spans="1:6" x14ac:dyDescent="0.4">
      <c r="A415" s="118" t="s">
        <v>714</v>
      </c>
      <c r="B415" s="119"/>
      <c r="C415" s="118"/>
      <c r="D415" s="118" t="s">
        <v>754</v>
      </c>
      <c r="E415" s="118"/>
    </row>
    <row r="416" spans="1:6" x14ac:dyDescent="0.4">
      <c r="A416" s="118" t="s">
        <v>714</v>
      </c>
      <c r="B416" s="119"/>
      <c r="C416" s="118"/>
      <c r="D416" s="118" t="s">
        <v>755</v>
      </c>
      <c r="E416" s="118"/>
    </row>
    <row r="417" spans="1:6" x14ac:dyDescent="0.4">
      <c r="A417" s="120" t="s">
        <v>714</v>
      </c>
      <c r="B417" s="121"/>
      <c r="C417" s="120"/>
      <c r="D417" s="120" t="s">
        <v>756</v>
      </c>
      <c r="E417" s="120"/>
    </row>
    <row r="418" spans="1:6" x14ac:dyDescent="0.4">
      <c r="A418" s="118" t="s">
        <v>714</v>
      </c>
      <c r="B418" s="119" t="s">
        <v>717</v>
      </c>
      <c r="C418" s="120" t="s">
        <v>767</v>
      </c>
      <c r="D418" s="120">
        <v>99</v>
      </c>
      <c r="E418" s="120" t="s">
        <v>729</v>
      </c>
      <c r="F418" s="34" t="str">
        <f t="shared" si="1"/>
        <v>太陽光_太陽電池アレイのシステム容量_パネル2</v>
      </c>
    </row>
    <row r="419" spans="1:6" x14ac:dyDescent="0.4">
      <c r="A419" s="118" t="s">
        <v>714</v>
      </c>
      <c r="B419" s="119"/>
      <c r="C419" s="118" t="s">
        <v>768</v>
      </c>
      <c r="D419" s="118" t="s">
        <v>730</v>
      </c>
      <c r="E419" s="118"/>
      <c r="F419" s="34" t="str">
        <f t="shared" si="1"/>
        <v>太陽光_太陽電池アレイの種類_パネル2</v>
      </c>
    </row>
    <row r="420" spans="1:6" x14ac:dyDescent="0.4">
      <c r="A420" s="118" t="s">
        <v>714</v>
      </c>
      <c r="B420" s="119"/>
      <c r="C420" s="120"/>
      <c r="D420" s="120" t="s">
        <v>731</v>
      </c>
      <c r="E420" s="120"/>
    </row>
    <row r="421" spans="1:6" x14ac:dyDescent="0.4">
      <c r="A421" s="118" t="s">
        <v>714</v>
      </c>
      <c r="B421" s="119"/>
      <c r="C421" s="118" t="s">
        <v>769</v>
      </c>
      <c r="D421" s="118" t="s">
        <v>732</v>
      </c>
      <c r="E421" s="118"/>
      <c r="F421" s="34" t="str">
        <f t="shared" si="1"/>
        <v>太陽光_太陽電池アレイ設置方式_パネル2</v>
      </c>
    </row>
    <row r="422" spans="1:6" x14ac:dyDescent="0.4">
      <c r="A422" s="118" t="s">
        <v>714</v>
      </c>
      <c r="B422" s="119"/>
      <c r="C422" s="118"/>
      <c r="D422" s="118" t="s">
        <v>733</v>
      </c>
      <c r="E422" s="118"/>
    </row>
    <row r="423" spans="1:6" x14ac:dyDescent="0.4">
      <c r="A423" s="118" t="s">
        <v>714</v>
      </c>
      <c r="B423" s="119"/>
      <c r="C423" s="120"/>
      <c r="D423" s="120" t="s">
        <v>734</v>
      </c>
      <c r="E423" s="120"/>
    </row>
    <row r="424" spans="1:6" x14ac:dyDescent="0.4">
      <c r="A424" s="118" t="s">
        <v>714</v>
      </c>
      <c r="B424" s="119"/>
      <c r="C424" s="118" t="s">
        <v>770</v>
      </c>
      <c r="D424" s="118" t="s">
        <v>735</v>
      </c>
      <c r="E424" s="118"/>
      <c r="F424" s="34" t="str">
        <f t="shared" si="1"/>
        <v>太陽光_パネルの設置方位角_パネル2</v>
      </c>
    </row>
    <row r="425" spans="1:6" x14ac:dyDescent="0.4">
      <c r="A425" s="118" t="s">
        <v>714</v>
      </c>
      <c r="B425" s="119"/>
      <c r="C425" s="118"/>
      <c r="D425" s="118" t="s">
        <v>736</v>
      </c>
      <c r="E425" s="118"/>
    </row>
    <row r="426" spans="1:6" x14ac:dyDescent="0.4">
      <c r="A426" s="118" t="s">
        <v>714</v>
      </c>
      <c r="B426" s="119"/>
      <c r="C426" s="118"/>
      <c r="D426" s="118" t="s">
        <v>737</v>
      </c>
      <c r="E426" s="118"/>
    </row>
    <row r="427" spans="1:6" x14ac:dyDescent="0.4">
      <c r="A427" s="118" t="s">
        <v>714</v>
      </c>
      <c r="B427" s="119"/>
      <c r="C427" s="118"/>
      <c r="D427" s="118" t="s">
        <v>738</v>
      </c>
      <c r="E427" s="118"/>
    </row>
    <row r="428" spans="1:6" x14ac:dyDescent="0.4">
      <c r="A428" s="118" t="s">
        <v>714</v>
      </c>
      <c r="B428" s="119"/>
      <c r="C428" s="118"/>
      <c r="D428" s="118" t="s">
        <v>739</v>
      </c>
      <c r="E428" s="118"/>
    </row>
    <row r="429" spans="1:6" x14ac:dyDescent="0.4">
      <c r="A429" s="118" t="s">
        <v>714</v>
      </c>
      <c r="B429" s="119"/>
      <c r="C429" s="118"/>
      <c r="D429" s="118" t="s">
        <v>740</v>
      </c>
      <c r="E429" s="118"/>
    </row>
    <row r="430" spans="1:6" x14ac:dyDescent="0.4">
      <c r="A430" s="118" t="s">
        <v>714</v>
      </c>
      <c r="B430" s="119"/>
      <c r="C430" s="118"/>
      <c r="D430" s="118" t="s">
        <v>741</v>
      </c>
      <c r="E430" s="118"/>
    </row>
    <row r="431" spans="1:6" x14ac:dyDescent="0.4">
      <c r="A431" s="118" t="s">
        <v>714</v>
      </c>
      <c r="B431" s="119"/>
      <c r="C431" s="118"/>
      <c r="D431" s="118" t="s">
        <v>742</v>
      </c>
      <c r="E431" s="118"/>
    </row>
    <row r="432" spans="1:6" x14ac:dyDescent="0.4">
      <c r="A432" s="118" t="s">
        <v>714</v>
      </c>
      <c r="B432" s="119"/>
      <c r="C432" s="118"/>
      <c r="D432" s="118" t="s">
        <v>743</v>
      </c>
      <c r="E432" s="118"/>
    </row>
    <row r="433" spans="1:6" x14ac:dyDescent="0.4">
      <c r="A433" s="118" t="s">
        <v>714</v>
      </c>
      <c r="B433" s="119"/>
      <c r="C433" s="118"/>
      <c r="D433" s="118" t="s">
        <v>744</v>
      </c>
      <c r="E433" s="118"/>
    </row>
    <row r="434" spans="1:6" x14ac:dyDescent="0.4">
      <c r="A434" s="118" t="s">
        <v>714</v>
      </c>
      <c r="B434" s="119"/>
      <c r="C434" s="118"/>
      <c r="D434" s="118" t="s">
        <v>745</v>
      </c>
      <c r="E434" s="118"/>
    </row>
    <row r="435" spans="1:6" x14ac:dyDescent="0.4">
      <c r="A435" s="118" t="s">
        <v>714</v>
      </c>
      <c r="B435" s="119"/>
      <c r="C435" s="120"/>
      <c r="D435" s="120" t="s">
        <v>746</v>
      </c>
      <c r="E435" s="120"/>
    </row>
    <row r="436" spans="1:6" x14ac:dyDescent="0.4">
      <c r="A436" s="118" t="s">
        <v>714</v>
      </c>
      <c r="B436" s="119"/>
      <c r="C436" s="118" t="s">
        <v>771</v>
      </c>
      <c r="D436" s="118" t="s">
        <v>747</v>
      </c>
      <c r="E436" s="118"/>
      <c r="F436" s="34" t="str">
        <f t="shared" si="1"/>
        <v>太陽光_パネル設置傾斜角_パネル2</v>
      </c>
    </row>
    <row r="437" spans="1:6" x14ac:dyDescent="0.4">
      <c r="A437" s="118" t="s">
        <v>714</v>
      </c>
      <c r="B437" s="119"/>
      <c r="C437" s="118"/>
      <c r="D437" s="118" t="s">
        <v>748</v>
      </c>
      <c r="E437" s="118"/>
    </row>
    <row r="438" spans="1:6" x14ac:dyDescent="0.4">
      <c r="A438" s="118" t="s">
        <v>714</v>
      </c>
      <c r="B438" s="119"/>
      <c r="C438" s="118"/>
      <c r="D438" s="118" t="s">
        <v>749</v>
      </c>
      <c r="E438" s="118"/>
    </row>
    <row r="439" spans="1:6" x14ac:dyDescent="0.4">
      <c r="A439" s="118" t="s">
        <v>714</v>
      </c>
      <c r="B439" s="119"/>
      <c r="C439" s="118"/>
      <c r="D439" s="118" t="s">
        <v>750</v>
      </c>
      <c r="E439" s="118"/>
    </row>
    <row r="440" spans="1:6" x14ac:dyDescent="0.4">
      <c r="A440" s="118" t="s">
        <v>714</v>
      </c>
      <c r="B440" s="119"/>
      <c r="C440" s="118"/>
      <c r="D440" s="118" t="s">
        <v>751</v>
      </c>
      <c r="E440" s="118"/>
    </row>
    <row r="441" spans="1:6" x14ac:dyDescent="0.4">
      <c r="A441" s="118" t="s">
        <v>714</v>
      </c>
      <c r="B441" s="119"/>
      <c r="C441" s="118"/>
      <c r="D441" s="118" t="s">
        <v>752</v>
      </c>
      <c r="E441" s="118"/>
    </row>
    <row r="442" spans="1:6" x14ac:dyDescent="0.4">
      <c r="A442" s="118" t="s">
        <v>714</v>
      </c>
      <c r="B442" s="119"/>
      <c r="C442" s="118"/>
      <c r="D442" s="118" t="s">
        <v>753</v>
      </c>
      <c r="E442" s="118"/>
    </row>
    <row r="443" spans="1:6" x14ac:dyDescent="0.4">
      <c r="A443" s="118" t="s">
        <v>714</v>
      </c>
      <c r="B443" s="119"/>
      <c r="C443" s="118"/>
      <c r="D443" s="118" t="s">
        <v>754</v>
      </c>
      <c r="E443" s="118"/>
    </row>
    <row r="444" spans="1:6" x14ac:dyDescent="0.4">
      <c r="A444" s="118" t="s">
        <v>714</v>
      </c>
      <c r="B444" s="119"/>
      <c r="C444" s="118"/>
      <c r="D444" s="118" t="s">
        <v>755</v>
      </c>
      <c r="E444" s="118"/>
    </row>
    <row r="445" spans="1:6" x14ac:dyDescent="0.4">
      <c r="A445" s="120" t="s">
        <v>714</v>
      </c>
      <c r="B445" s="121"/>
      <c r="C445" s="120"/>
      <c r="D445" s="120" t="s">
        <v>756</v>
      </c>
      <c r="E445" s="120"/>
    </row>
    <row r="446" spans="1:6" x14ac:dyDescent="0.4">
      <c r="A446" s="118" t="s">
        <v>714</v>
      </c>
      <c r="B446" s="119" t="s">
        <v>718</v>
      </c>
      <c r="C446" s="120" t="s">
        <v>772</v>
      </c>
      <c r="D446" s="120">
        <v>99</v>
      </c>
      <c r="E446" s="120"/>
      <c r="F446" s="34" t="str">
        <f t="shared" ref="F444:F474" si="2">"太陽光_"&amp;C446</f>
        <v>太陽光_太陽電池アレイのシステム容量_パネル3</v>
      </c>
    </row>
    <row r="447" spans="1:6" x14ac:dyDescent="0.4">
      <c r="A447" s="118" t="s">
        <v>714</v>
      </c>
      <c r="B447" s="119"/>
      <c r="C447" s="118" t="s">
        <v>773</v>
      </c>
      <c r="D447" s="118" t="s">
        <v>730</v>
      </c>
      <c r="E447" s="118"/>
      <c r="F447" s="34" t="str">
        <f t="shared" si="2"/>
        <v>太陽光_太陽電池アレイの種類_パネル3</v>
      </c>
    </row>
    <row r="448" spans="1:6" x14ac:dyDescent="0.4">
      <c r="A448" s="118" t="s">
        <v>714</v>
      </c>
      <c r="B448" s="119"/>
      <c r="C448" s="120"/>
      <c r="D448" s="120" t="s">
        <v>731</v>
      </c>
      <c r="E448" s="120"/>
    </row>
    <row r="449" spans="1:6" x14ac:dyDescent="0.4">
      <c r="A449" s="118" t="s">
        <v>714</v>
      </c>
      <c r="B449" s="119"/>
      <c r="C449" s="118" t="s">
        <v>774</v>
      </c>
      <c r="D449" s="118" t="s">
        <v>732</v>
      </c>
      <c r="E449" s="118"/>
      <c r="F449" s="34" t="str">
        <f t="shared" si="2"/>
        <v>太陽光_太陽電池アレイ設置方式_パネル3</v>
      </c>
    </row>
    <row r="450" spans="1:6" x14ac:dyDescent="0.4">
      <c r="A450" s="118" t="s">
        <v>714</v>
      </c>
      <c r="B450" s="119"/>
      <c r="C450" s="118"/>
      <c r="D450" s="118" t="s">
        <v>733</v>
      </c>
      <c r="E450" s="118"/>
    </row>
    <row r="451" spans="1:6" x14ac:dyDescent="0.4">
      <c r="A451" s="118" t="s">
        <v>714</v>
      </c>
      <c r="B451" s="119"/>
      <c r="C451" s="120"/>
      <c r="D451" s="120" t="s">
        <v>734</v>
      </c>
      <c r="E451" s="120"/>
    </row>
    <row r="452" spans="1:6" x14ac:dyDescent="0.4">
      <c r="A452" s="118" t="s">
        <v>714</v>
      </c>
      <c r="B452" s="119"/>
      <c r="C452" s="118" t="s">
        <v>775</v>
      </c>
      <c r="D452" s="118" t="s">
        <v>735</v>
      </c>
      <c r="E452" s="118"/>
      <c r="F452" s="34" t="str">
        <f t="shared" si="2"/>
        <v>太陽光_パネルの設置方位角_パネル3</v>
      </c>
    </row>
    <row r="453" spans="1:6" x14ac:dyDescent="0.4">
      <c r="A453" s="118" t="s">
        <v>714</v>
      </c>
      <c r="B453" s="119"/>
      <c r="C453" s="118"/>
      <c r="D453" s="118" t="s">
        <v>736</v>
      </c>
      <c r="E453" s="118"/>
    </row>
    <row r="454" spans="1:6" x14ac:dyDescent="0.4">
      <c r="A454" s="118" t="s">
        <v>714</v>
      </c>
      <c r="B454" s="119"/>
      <c r="C454" s="118"/>
      <c r="D454" s="118" t="s">
        <v>737</v>
      </c>
      <c r="E454" s="118"/>
    </row>
    <row r="455" spans="1:6" x14ac:dyDescent="0.4">
      <c r="A455" s="118" t="s">
        <v>714</v>
      </c>
      <c r="B455" s="119"/>
      <c r="C455" s="118"/>
      <c r="D455" s="118" t="s">
        <v>738</v>
      </c>
      <c r="E455" s="118"/>
    </row>
    <row r="456" spans="1:6" x14ac:dyDescent="0.4">
      <c r="A456" s="118" t="s">
        <v>714</v>
      </c>
      <c r="B456" s="119"/>
      <c r="C456" s="118"/>
      <c r="D456" s="118" t="s">
        <v>739</v>
      </c>
      <c r="E456" s="118"/>
    </row>
    <row r="457" spans="1:6" x14ac:dyDescent="0.4">
      <c r="A457" s="118" t="s">
        <v>714</v>
      </c>
      <c r="B457" s="119"/>
      <c r="C457" s="118"/>
      <c r="D457" s="118" t="s">
        <v>740</v>
      </c>
      <c r="E457" s="118"/>
    </row>
    <row r="458" spans="1:6" x14ac:dyDescent="0.4">
      <c r="A458" s="118" t="s">
        <v>714</v>
      </c>
      <c r="B458" s="119"/>
      <c r="C458" s="118"/>
      <c r="D458" s="118" t="s">
        <v>741</v>
      </c>
      <c r="E458" s="118"/>
    </row>
    <row r="459" spans="1:6" x14ac:dyDescent="0.4">
      <c r="A459" s="118" t="s">
        <v>714</v>
      </c>
      <c r="B459" s="119"/>
      <c r="C459" s="118"/>
      <c r="D459" s="118" t="s">
        <v>742</v>
      </c>
      <c r="E459" s="118"/>
    </row>
    <row r="460" spans="1:6" x14ac:dyDescent="0.4">
      <c r="A460" s="118" t="s">
        <v>714</v>
      </c>
      <c r="B460" s="119"/>
      <c r="C460" s="118"/>
      <c r="D460" s="118" t="s">
        <v>743</v>
      </c>
      <c r="E460" s="118"/>
    </row>
    <row r="461" spans="1:6" x14ac:dyDescent="0.4">
      <c r="A461" s="118" t="s">
        <v>714</v>
      </c>
      <c r="B461" s="119"/>
      <c r="C461" s="118"/>
      <c r="D461" s="118" t="s">
        <v>744</v>
      </c>
      <c r="E461" s="118"/>
    </row>
    <row r="462" spans="1:6" x14ac:dyDescent="0.4">
      <c r="A462" s="118" t="s">
        <v>714</v>
      </c>
      <c r="B462" s="119"/>
      <c r="C462" s="118"/>
      <c r="D462" s="118" t="s">
        <v>745</v>
      </c>
      <c r="E462" s="118"/>
    </row>
    <row r="463" spans="1:6" x14ac:dyDescent="0.4">
      <c r="A463" s="118" t="s">
        <v>714</v>
      </c>
      <c r="B463" s="119"/>
      <c r="C463" s="120"/>
      <c r="D463" s="120" t="s">
        <v>746</v>
      </c>
      <c r="E463" s="120"/>
    </row>
    <row r="464" spans="1:6" x14ac:dyDescent="0.4">
      <c r="A464" s="118" t="s">
        <v>714</v>
      </c>
      <c r="B464" s="119"/>
      <c r="C464" s="118" t="s">
        <v>776</v>
      </c>
      <c r="D464" s="118" t="s">
        <v>747</v>
      </c>
      <c r="E464" s="118"/>
      <c r="F464" s="34" t="str">
        <f t="shared" si="2"/>
        <v>太陽光_パネル設置傾斜角_パネル3</v>
      </c>
    </row>
    <row r="465" spans="1:6" x14ac:dyDescent="0.4">
      <c r="A465" s="118" t="s">
        <v>714</v>
      </c>
      <c r="B465" s="119"/>
      <c r="C465" s="118"/>
      <c r="D465" s="118" t="s">
        <v>748</v>
      </c>
      <c r="E465" s="118"/>
    </row>
    <row r="466" spans="1:6" x14ac:dyDescent="0.4">
      <c r="A466" s="118" t="s">
        <v>714</v>
      </c>
      <c r="B466" s="119"/>
      <c r="C466" s="118"/>
      <c r="D466" s="118" t="s">
        <v>749</v>
      </c>
      <c r="E466" s="118"/>
    </row>
    <row r="467" spans="1:6" x14ac:dyDescent="0.4">
      <c r="A467" s="118" t="s">
        <v>714</v>
      </c>
      <c r="B467" s="119"/>
      <c r="C467" s="118"/>
      <c r="D467" s="118" t="s">
        <v>750</v>
      </c>
      <c r="E467" s="118"/>
    </row>
    <row r="468" spans="1:6" x14ac:dyDescent="0.4">
      <c r="A468" s="118" t="s">
        <v>714</v>
      </c>
      <c r="B468" s="119"/>
      <c r="C468" s="118"/>
      <c r="D468" s="118" t="s">
        <v>751</v>
      </c>
      <c r="E468" s="118"/>
    </row>
    <row r="469" spans="1:6" x14ac:dyDescent="0.4">
      <c r="A469" s="118" t="s">
        <v>714</v>
      </c>
      <c r="B469" s="119"/>
      <c r="C469" s="118"/>
      <c r="D469" s="118" t="s">
        <v>752</v>
      </c>
      <c r="E469" s="118"/>
    </row>
    <row r="470" spans="1:6" x14ac:dyDescent="0.4">
      <c r="A470" s="118" t="s">
        <v>714</v>
      </c>
      <c r="B470" s="119"/>
      <c r="C470" s="118"/>
      <c r="D470" s="118" t="s">
        <v>753</v>
      </c>
      <c r="E470" s="118"/>
    </row>
    <row r="471" spans="1:6" x14ac:dyDescent="0.4">
      <c r="A471" s="118" t="s">
        <v>714</v>
      </c>
      <c r="B471" s="119"/>
      <c r="C471" s="118"/>
      <c r="D471" s="118" t="s">
        <v>754</v>
      </c>
      <c r="E471" s="118"/>
    </row>
    <row r="472" spans="1:6" x14ac:dyDescent="0.4">
      <c r="A472" s="118" t="s">
        <v>714</v>
      </c>
      <c r="B472" s="119"/>
      <c r="C472" s="118"/>
      <c r="D472" s="118" t="s">
        <v>755</v>
      </c>
      <c r="E472" s="118"/>
    </row>
    <row r="473" spans="1:6" x14ac:dyDescent="0.4">
      <c r="A473" s="120" t="s">
        <v>714</v>
      </c>
      <c r="B473" s="121"/>
      <c r="C473" s="120"/>
      <c r="D473" s="120" t="s">
        <v>756</v>
      </c>
      <c r="E473" s="120"/>
    </row>
    <row r="474" spans="1:6" x14ac:dyDescent="0.4">
      <c r="A474" s="33" t="s">
        <v>835</v>
      </c>
      <c r="B474" s="122" t="s">
        <v>836</v>
      </c>
      <c r="C474" s="33" t="s">
        <v>841</v>
      </c>
      <c r="D474" s="33" t="s">
        <v>550</v>
      </c>
      <c r="E474" s="33"/>
      <c r="F474" s="34" t="str">
        <f>"太陽熱_"&amp;C474</f>
        <v>太陽熱_液体集熱式太陽熱利用設備</v>
      </c>
    </row>
    <row r="475" spans="1:6" x14ac:dyDescent="0.4">
      <c r="A475" s="33"/>
      <c r="B475" s="122"/>
      <c r="C475" s="123"/>
      <c r="D475" s="123" t="s">
        <v>551</v>
      </c>
      <c r="E475" s="123"/>
    </row>
    <row r="476" spans="1:6" x14ac:dyDescent="0.4">
      <c r="A476" s="33"/>
      <c r="B476" s="122"/>
      <c r="C476" s="33" t="s">
        <v>842</v>
      </c>
      <c r="D476" s="33" t="s">
        <v>851</v>
      </c>
      <c r="E476" s="33"/>
      <c r="F476" s="34" t="str">
        <f t="shared" ref="F475:F538" si="3">"太陽熱_"&amp;C476</f>
        <v>太陽熱_設備の種類</v>
      </c>
    </row>
    <row r="477" spans="1:6" x14ac:dyDescent="0.4">
      <c r="A477" s="33"/>
      <c r="B477" s="122"/>
      <c r="C477" s="33"/>
      <c r="D477" s="33" t="s">
        <v>854</v>
      </c>
      <c r="E477" s="33"/>
    </row>
    <row r="478" spans="1:6" x14ac:dyDescent="0.4">
      <c r="A478" s="33"/>
      <c r="B478" s="122"/>
      <c r="C478" s="123"/>
      <c r="D478" s="123" t="s">
        <v>856</v>
      </c>
      <c r="E478" s="123"/>
    </row>
    <row r="479" spans="1:6" x14ac:dyDescent="0.4">
      <c r="A479" s="33"/>
      <c r="B479" s="122"/>
      <c r="C479" s="123" t="s">
        <v>853</v>
      </c>
      <c r="D479" s="123" t="s">
        <v>844</v>
      </c>
      <c r="E479" s="123"/>
      <c r="F479" s="34" t="str">
        <f t="shared" si="3"/>
        <v>太陽熱_給湯接続方式の種類_開放形太陽熱温水器</v>
      </c>
    </row>
    <row r="480" spans="1:6" x14ac:dyDescent="0.4">
      <c r="A480" s="33"/>
      <c r="B480" s="122"/>
      <c r="C480" s="33" t="s">
        <v>1039</v>
      </c>
      <c r="D480" s="33" t="s">
        <v>848</v>
      </c>
      <c r="E480" s="33"/>
      <c r="F480" s="34" t="str">
        <f t="shared" si="3"/>
        <v>太陽熱_給湯接続方式の種類_密閉形太陽熱温水器_直圧式</v>
      </c>
    </row>
    <row r="481" spans="1:6" x14ac:dyDescent="0.4">
      <c r="A481" s="33"/>
      <c r="B481" s="122"/>
      <c r="C481" s="123"/>
      <c r="D481" s="123" t="s">
        <v>849</v>
      </c>
      <c r="E481" s="123"/>
    </row>
    <row r="482" spans="1:6" x14ac:dyDescent="0.4">
      <c r="A482" s="33"/>
      <c r="B482" s="122"/>
      <c r="C482" s="33" t="s">
        <v>858</v>
      </c>
      <c r="D482" s="33" t="s">
        <v>848</v>
      </c>
      <c r="E482" s="33"/>
      <c r="F482" s="34" t="str">
        <f t="shared" si="3"/>
        <v>太陽熱_給湯接続方式の種類_ソーラーシステム</v>
      </c>
    </row>
    <row r="483" spans="1:6" x14ac:dyDescent="0.4">
      <c r="A483" s="33"/>
      <c r="B483" s="122"/>
      <c r="C483" s="123"/>
      <c r="D483" s="123" t="s">
        <v>850</v>
      </c>
      <c r="E483" s="123"/>
    </row>
    <row r="484" spans="1:6" x14ac:dyDescent="0.4">
      <c r="A484" s="33"/>
      <c r="B484" s="122"/>
      <c r="C484" s="33" t="s">
        <v>845</v>
      </c>
      <c r="D484" s="33" t="s">
        <v>846</v>
      </c>
      <c r="E484" s="33"/>
      <c r="F484" s="34" t="str">
        <f t="shared" si="3"/>
        <v>太陽熱_太陽熱用水栓</v>
      </c>
    </row>
    <row r="485" spans="1:6" x14ac:dyDescent="0.4">
      <c r="A485" s="33"/>
      <c r="B485" s="124"/>
      <c r="C485" s="123"/>
      <c r="D485" s="123" t="s">
        <v>847</v>
      </c>
      <c r="E485" s="123"/>
    </row>
    <row r="486" spans="1:6" x14ac:dyDescent="0.4">
      <c r="A486" s="33"/>
      <c r="B486" s="122" t="s">
        <v>837</v>
      </c>
      <c r="C486" s="33" t="s">
        <v>860</v>
      </c>
      <c r="D486" s="33" t="s">
        <v>650</v>
      </c>
      <c r="E486" s="33"/>
      <c r="F486" s="34" t="str">
        <f t="shared" si="3"/>
        <v>太陽熱_開放形太陽熱温水器の指定</v>
      </c>
    </row>
    <row r="487" spans="1:6" x14ac:dyDescent="0.4">
      <c r="A487" s="33"/>
      <c r="B487" s="122"/>
      <c r="C487" s="123"/>
      <c r="D487" s="123" t="s">
        <v>652</v>
      </c>
      <c r="E487" s="123"/>
    </row>
    <row r="488" spans="1:6" x14ac:dyDescent="0.4">
      <c r="A488" s="33"/>
      <c r="B488" s="122"/>
      <c r="C488" s="33" t="s">
        <v>867</v>
      </c>
      <c r="D488" s="33" t="s">
        <v>650</v>
      </c>
      <c r="E488" s="33"/>
      <c r="F488" s="34" t="str">
        <f t="shared" si="3"/>
        <v>太陽熱_密閉形太陽熱温水器の指定</v>
      </c>
    </row>
    <row r="489" spans="1:6" x14ac:dyDescent="0.4">
      <c r="A489" s="33"/>
      <c r="B489" s="122"/>
      <c r="C489" s="33"/>
      <c r="D489" s="33" t="s">
        <v>652</v>
      </c>
      <c r="E489" s="33"/>
    </row>
    <row r="490" spans="1:6" x14ac:dyDescent="0.4">
      <c r="A490" s="33"/>
      <c r="B490" s="122"/>
      <c r="C490" s="123"/>
      <c r="D490" s="123" t="s">
        <v>653</v>
      </c>
      <c r="E490" s="123"/>
    </row>
    <row r="491" spans="1:6" x14ac:dyDescent="0.4">
      <c r="A491" s="33"/>
      <c r="B491" s="122"/>
      <c r="C491" s="33" t="s">
        <v>859</v>
      </c>
      <c r="D491" s="33" t="s">
        <v>650</v>
      </c>
      <c r="E491" s="33"/>
      <c r="F491" s="34" t="str">
        <f t="shared" si="3"/>
        <v>太陽熱_ソーラーシステムの指定</v>
      </c>
    </row>
    <row r="492" spans="1:6" x14ac:dyDescent="0.4">
      <c r="A492" s="33"/>
      <c r="B492" s="122"/>
      <c r="C492" s="33"/>
      <c r="D492" s="33" t="s">
        <v>652</v>
      </c>
      <c r="E492" s="33"/>
    </row>
    <row r="493" spans="1:6" x14ac:dyDescent="0.4">
      <c r="A493" s="33"/>
      <c r="B493" s="122"/>
      <c r="C493" s="123"/>
      <c r="D493" s="123" t="s">
        <v>653</v>
      </c>
      <c r="E493" s="123"/>
    </row>
    <row r="494" spans="1:6" x14ac:dyDescent="0.4">
      <c r="A494" s="33"/>
      <c r="B494" s="122"/>
      <c r="C494" s="123" t="s">
        <v>861</v>
      </c>
      <c r="D494" s="123">
        <v>99</v>
      </c>
      <c r="E494" s="123" t="s">
        <v>865</v>
      </c>
      <c r="F494" s="34" t="str">
        <f t="shared" si="3"/>
        <v>太陽熱_集熱部総面積</v>
      </c>
    </row>
    <row r="495" spans="1:6" x14ac:dyDescent="0.4">
      <c r="A495" s="33"/>
      <c r="B495" s="122"/>
      <c r="C495" s="33" t="s">
        <v>862</v>
      </c>
      <c r="D495" s="33" t="s">
        <v>735</v>
      </c>
      <c r="E495" s="33"/>
      <c r="F495" s="34" t="str">
        <f t="shared" si="3"/>
        <v>太陽熱_集熱部の設置方位角</v>
      </c>
    </row>
    <row r="496" spans="1:6" x14ac:dyDescent="0.4">
      <c r="A496" s="33"/>
      <c r="B496" s="122"/>
      <c r="C496" s="33"/>
      <c r="D496" s="33" t="s">
        <v>736</v>
      </c>
      <c r="E496" s="33"/>
    </row>
    <row r="497" spans="1:6" x14ac:dyDescent="0.4">
      <c r="A497" s="33"/>
      <c r="B497" s="122"/>
      <c r="C497" s="33"/>
      <c r="D497" s="33" t="s">
        <v>737</v>
      </c>
      <c r="E497" s="33"/>
    </row>
    <row r="498" spans="1:6" x14ac:dyDescent="0.4">
      <c r="A498" s="33"/>
      <c r="B498" s="122"/>
      <c r="C498" s="33"/>
      <c r="D498" s="33" t="s">
        <v>738</v>
      </c>
      <c r="E498" s="33"/>
    </row>
    <row r="499" spans="1:6" x14ac:dyDescent="0.4">
      <c r="A499" s="33"/>
      <c r="B499" s="122"/>
      <c r="C499" s="33"/>
      <c r="D499" s="33" t="s">
        <v>739</v>
      </c>
      <c r="E499" s="33"/>
    </row>
    <row r="500" spans="1:6" x14ac:dyDescent="0.4">
      <c r="A500" s="33"/>
      <c r="B500" s="122"/>
      <c r="C500" s="33"/>
      <c r="D500" s="33" t="s">
        <v>740</v>
      </c>
      <c r="E500" s="33"/>
    </row>
    <row r="501" spans="1:6" x14ac:dyDescent="0.4">
      <c r="A501" s="33"/>
      <c r="B501" s="122"/>
      <c r="C501" s="33"/>
      <c r="D501" s="33" t="s">
        <v>741</v>
      </c>
      <c r="E501" s="33"/>
    </row>
    <row r="502" spans="1:6" x14ac:dyDescent="0.4">
      <c r="A502" s="33"/>
      <c r="B502" s="122"/>
      <c r="C502" s="33"/>
      <c r="D502" s="33" t="s">
        <v>742</v>
      </c>
      <c r="E502" s="33"/>
    </row>
    <row r="503" spans="1:6" x14ac:dyDescent="0.4">
      <c r="A503" s="33"/>
      <c r="B503" s="122"/>
      <c r="C503" s="33"/>
      <c r="D503" s="33" t="s">
        <v>743</v>
      </c>
      <c r="E503" s="33"/>
    </row>
    <row r="504" spans="1:6" x14ac:dyDescent="0.4">
      <c r="A504" s="33"/>
      <c r="B504" s="122"/>
      <c r="C504" s="33"/>
      <c r="D504" s="33" t="s">
        <v>744</v>
      </c>
      <c r="E504" s="33"/>
    </row>
    <row r="505" spans="1:6" x14ac:dyDescent="0.4">
      <c r="A505" s="33"/>
      <c r="B505" s="122"/>
      <c r="C505" s="33"/>
      <c r="D505" s="33" t="s">
        <v>745</v>
      </c>
      <c r="E505" s="33"/>
    </row>
    <row r="506" spans="1:6" x14ac:dyDescent="0.4">
      <c r="A506" s="33"/>
      <c r="B506" s="122"/>
      <c r="C506" s="123"/>
      <c r="D506" s="123" t="s">
        <v>746</v>
      </c>
      <c r="E506" s="123"/>
    </row>
    <row r="507" spans="1:6" x14ac:dyDescent="0.4">
      <c r="A507" s="33"/>
      <c r="B507" s="122"/>
      <c r="C507" s="33" t="s">
        <v>863</v>
      </c>
      <c r="D507" s="33" t="s">
        <v>747</v>
      </c>
      <c r="E507" s="33"/>
      <c r="F507" s="34" t="str">
        <f t="shared" si="3"/>
        <v>太陽熱_集熱部の設置傾斜角</v>
      </c>
    </row>
    <row r="508" spans="1:6" x14ac:dyDescent="0.4">
      <c r="A508" s="33"/>
      <c r="B508" s="122"/>
      <c r="C508" s="33"/>
      <c r="D508" s="33" t="s">
        <v>748</v>
      </c>
      <c r="E508" s="33"/>
    </row>
    <row r="509" spans="1:6" x14ac:dyDescent="0.4">
      <c r="A509" s="33"/>
      <c r="B509" s="122"/>
      <c r="C509" s="33"/>
      <c r="D509" s="33" t="s">
        <v>749</v>
      </c>
      <c r="E509" s="33"/>
    </row>
    <row r="510" spans="1:6" x14ac:dyDescent="0.4">
      <c r="A510" s="33"/>
      <c r="B510" s="122"/>
      <c r="C510" s="33"/>
      <c r="D510" s="33" t="s">
        <v>750</v>
      </c>
      <c r="E510" s="33"/>
    </row>
    <row r="511" spans="1:6" x14ac:dyDescent="0.4">
      <c r="A511" s="33"/>
      <c r="B511" s="122"/>
      <c r="C511" s="33"/>
      <c r="D511" s="33" t="s">
        <v>751</v>
      </c>
      <c r="E511" s="33"/>
    </row>
    <row r="512" spans="1:6" x14ac:dyDescent="0.4">
      <c r="A512" s="33"/>
      <c r="B512" s="122"/>
      <c r="C512" s="33"/>
      <c r="D512" s="33" t="s">
        <v>752</v>
      </c>
      <c r="E512" s="33"/>
    </row>
    <row r="513" spans="1:6" x14ac:dyDescent="0.4">
      <c r="A513" s="33"/>
      <c r="B513" s="122"/>
      <c r="C513" s="33"/>
      <c r="D513" s="33" t="s">
        <v>753</v>
      </c>
      <c r="E513" s="33"/>
    </row>
    <row r="514" spans="1:6" x14ac:dyDescent="0.4">
      <c r="A514" s="33"/>
      <c r="B514" s="122"/>
      <c r="C514" s="33"/>
      <c r="D514" s="33" t="s">
        <v>754</v>
      </c>
      <c r="E514" s="33"/>
    </row>
    <row r="515" spans="1:6" x14ac:dyDescent="0.4">
      <c r="A515" s="33"/>
      <c r="B515" s="122"/>
      <c r="C515" s="33"/>
      <c r="D515" s="33" t="s">
        <v>755</v>
      </c>
      <c r="E515" s="33"/>
    </row>
    <row r="516" spans="1:6" x14ac:dyDescent="0.4">
      <c r="A516" s="33"/>
      <c r="B516" s="122"/>
      <c r="C516" s="123"/>
      <c r="D516" s="123" t="s">
        <v>756</v>
      </c>
      <c r="E516" s="123"/>
    </row>
    <row r="517" spans="1:6" x14ac:dyDescent="0.4">
      <c r="A517" s="33"/>
      <c r="B517" s="122"/>
      <c r="C517" s="123" t="s">
        <v>864</v>
      </c>
      <c r="D517" s="123">
        <v>99</v>
      </c>
      <c r="E517" s="123" t="s">
        <v>866</v>
      </c>
      <c r="F517" s="34" t="str">
        <f t="shared" si="3"/>
        <v>太陽熱_貯湯量</v>
      </c>
    </row>
    <row r="518" spans="1:6" x14ac:dyDescent="0.4">
      <c r="A518" s="33"/>
      <c r="B518" s="122"/>
      <c r="C518" s="125" t="s">
        <v>868</v>
      </c>
      <c r="D518" s="125">
        <v>90</v>
      </c>
      <c r="E518" s="125" t="s">
        <v>866</v>
      </c>
      <c r="F518" s="34" t="str">
        <f t="shared" si="3"/>
        <v>太陽熱_蓄熱タンク容量</v>
      </c>
    </row>
    <row r="519" spans="1:6" x14ac:dyDescent="0.4">
      <c r="A519" s="33"/>
      <c r="B519" s="124"/>
      <c r="C519" s="125" t="s">
        <v>869</v>
      </c>
      <c r="D519" s="125" t="s">
        <v>871</v>
      </c>
      <c r="E519" s="125" t="s">
        <v>870</v>
      </c>
      <c r="F519" s="34" t="str">
        <f t="shared" si="3"/>
        <v>太陽熱_品番</v>
      </c>
    </row>
    <row r="520" spans="1:6" x14ac:dyDescent="0.4">
      <c r="A520" s="33"/>
      <c r="B520" s="122" t="s">
        <v>838</v>
      </c>
      <c r="C520" s="33" t="s">
        <v>1040</v>
      </c>
      <c r="D520" s="33"/>
      <c r="E520" s="33" t="s">
        <v>542</v>
      </c>
      <c r="F520" s="34" t="str">
        <f t="shared" si="3"/>
        <v>太陽熱_集熱部効率係数_b0</v>
      </c>
    </row>
    <row r="521" spans="1:6" x14ac:dyDescent="0.4">
      <c r="A521" s="33"/>
      <c r="B521" s="122"/>
      <c r="C521" s="33" t="s">
        <v>1041</v>
      </c>
      <c r="D521" s="33"/>
      <c r="E521" s="33" t="s">
        <v>882</v>
      </c>
      <c r="F521" s="34" t="str">
        <f t="shared" si="3"/>
        <v>太陽熱_集熱部損失係数_b1</v>
      </c>
    </row>
    <row r="522" spans="1:6" x14ac:dyDescent="0.4">
      <c r="A522" s="33"/>
      <c r="B522" s="122"/>
      <c r="C522" s="33" t="s">
        <v>874</v>
      </c>
      <c r="D522" s="33"/>
      <c r="E522" s="33" t="s">
        <v>883</v>
      </c>
      <c r="F522" s="34" t="str">
        <f t="shared" si="3"/>
        <v>太陽熱_基準循環流量</v>
      </c>
    </row>
    <row r="523" spans="1:6" x14ac:dyDescent="0.4">
      <c r="A523" s="33"/>
      <c r="B523" s="122"/>
      <c r="C523" s="33" t="s">
        <v>875</v>
      </c>
      <c r="D523" s="33"/>
      <c r="E523" s="33" t="s">
        <v>884</v>
      </c>
      <c r="F523" s="34" t="str">
        <f t="shared" si="3"/>
        <v>太陽熱_熱媒の定圧比熱</v>
      </c>
    </row>
    <row r="524" spans="1:6" x14ac:dyDescent="0.4">
      <c r="A524" s="33"/>
      <c r="B524" s="122"/>
      <c r="C524" s="33" t="s">
        <v>876</v>
      </c>
      <c r="D524" s="33"/>
      <c r="E524" s="33" t="s">
        <v>885</v>
      </c>
      <c r="F524" s="34" t="str">
        <f t="shared" si="3"/>
        <v>太陽熱_集熱配管の線熱通過率</v>
      </c>
    </row>
    <row r="525" spans="1:6" x14ac:dyDescent="0.4">
      <c r="A525" s="33"/>
      <c r="B525" s="122"/>
      <c r="C525" s="33" t="s">
        <v>877</v>
      </c>
      <c r="D525" s="33"/>
      <c r="E525" s="33" t="s">
        <v>886</v>
      </c>
      <c r="F525" s="34" t="str">
        <f t="shared" si="3"/>
        <v>太陽熱_熱交換器伝熱係数</v>
      </c>
    </row>
    <row r="526" spans="1:6" x14ac:dyDescent="0.4">
      <c r="A526" s="33"/>
      <c r="B526" s="122"/>
      <c r="C526" s="33" t="s">
        <v>878</v>
      </c>
      <c r="D526" s="33"/>
      <c r="E526" s="33" t="s">
        <v>887</v>
      </c>
      <c r="F526" s="34" t="str">
        <f t="shared" si="3"/>
        <v>太陽熱_循環ポンプ連続運転時電力</v>
      </c>
    </row>
    <row r="527" spans="1:6" x14ac:dyDescent="0.4">
      <c r="A527" s="33"/>
      <c r="B527" s="122"/>
      <c r="C527" s="33" t="s">
        <v>879</v>
      </c>
      <c r="D527" s="33"/>
      <c r="E527" s="33" t="s">
        <v>887</v>
      </c>
      <c r="F527" s="34" t="str">
        <f t="shared" si="3"/>
        <v>太陽熱_循環ポンプ集熱判定時電力</v>
      </c>
    </row>
    <row r="528" spans="1:6" x14ac:dyDescent="0.4">
      <c r="A528" s="33"/>
      <c r="B528" s="122"/>
      <c r="C528" s="33" t="s">
        <v>880</v>
      </c>
      <c r="D528" s="33"/>
      <c r="E528" s="33" t="s">
        <v>132</v>
      </c>
      <c r="F528" s="34" t="str">
        <f t="shared" si="3"/>
        <v>太陽熱_有効出湯効率</v>
      </c>
    </row>
    <row r="529" spans="1:6" x14ac:dyDescent="0.4">
      <c r="A529" s="33"/>
      <c r="B529" s="124"/>
      <c r="C529" s="123" t="s">
        <v>881</v>
      </c>
      <c r="D529" s="123"/>
      <c r="E529" s="123" t="s">
        <v>888</v>
      </c>
      <c r="F529" s="34" t="str">
        <f t="shared" si="3"/>
        <v>太陽熱_蓄熱槽熱損失係数</v>
      </c>
    </row>
    <row r="530" spans="1:6" x14ac:dyDescent="0.4">
      <c r="A530" s="33"/>
      <c r="B530" s="122" t="s">
        <v>839</v>
      </c>
      <c r="C530" s="33" t="s">
        <v>889</v>
      </c>
      <c r="D530" s="33" t="s">
        <v>550</v>
      </c>
      <c r="E530" s="33"/>
      <c r="F530" s="34" t="str">
        <f t="shared" si="3"/>
        <v>太陽熱_空気集熱式太陽熱利用設備</v>
      </c>
    </row>
    <row r="531" spans="1:6" x14ac:dyDescent="0.4">
      <c r="A531" s="33"/>
      <c r="B531" s="122"/>
      <c r="C531" s="123"/>
      <c r="D531" s="123" t="s">
        <v>551</v>
      </c>
      <c r="E531" s="123"/>
    </row>
    <row r="532" spans="1:6" x14ac:dyDescent="0.4">
      <c r="A532" s="33"/>
      <c r="B532" s="122"/>
      <c r="C532" s="33" t="s">
        <v>890</v>
      </c>
      <c r="D532" s="33" t="s">
        <v>725</v>
      </c>
      <c r="E532" s="33"/>
      <c r="F532" s="34" t="str">
        <f t="shared" si="3"/>
        <v>太陽熱_集熱器群の数</v>
      </c>
    </row>
    <row r="533" spans="1:6" x14ac:dyDescent="0.4">
      <c r="A533" s="33"/>
      <c r="B533" s="122"/>
      <c r="C533" s="33"/>
      <c r="D533" s="33" t="s">
        <v>726</v>
      </c>
      <c r="E533" s="33"/>
    </row>
    <row r="534" spans="1:6" x14ac:dyDescent="0.4">
      <c r="A534" s="33"/>
      <c r="B534" s="122"/>
      <c r="C534" s="33"/>
      <c r="D534" s="33" t="s">
        <v>727</v>
      </c>
      <c r="E534" s="33"/>
    </row>
    <row r="535" spans="1:6" x14ac:dyDescent="0.4">
      <c r="A535" s="33"/>
      <c r="B535" s="122"/>
      <c r="C535" s="123"/>
      <c r="D535" s="123" t="s">
        <v>728</v>
      </c>
      <c r="E535" s="123"/>
    </row>
    <row r="536" spans="1:6" x14ac:dyDescent="0.4">
      <c r="A536" s="33"/>
      <c r="B536" s="122"/>
      <c r="C536" s="33" t="s">
        <v>891</v>
      </c>
      <c r="D536" s="33" t="s">
        <v>735</v>
      </c>
      <c r="E536" s="33"/>
      <c r="F536" s="34" t="str">
        <f t="shared" si="3"/>
        <v>太陽熱_集熱部の方位角</v>
      </c>
    </row>
    <row r="537" spans="1:6" x14ac:dyDescent="0.4">
      <c r="A537" s="33"/>
      <c r="B537" s="122"/>
      <c r="C537" s="33"/>
      <c r="D537" s="33" t="s">
        <v>736</v>
      </c>
      <c r="E537" s="33"/>
    </row>
    <row r="538" spans="1:6" x14ac:dyDescent="0.4">
      <c r="A538" s="33"/>
      <c r="B538" s="122"/>
      <c r="C538" s="33"/>
      <c r="D538" s="33" t="s">
        <v>737</v>
      </c>
      <c r="E538" s="33"/>
    </row>
    <row r="539" spans="1:6" x14ac:dyDescent="0.4">
      <c r="A539" s="33"/>
      <c r="B539" s="122"/>
      <c r="C539" s="33"/>
      <c r="D539" s="33" t="s">
        <v>738</v>
      </c>
      <c r="E539" s="33"/>
    </row>
    <row r="540" spans="1:6" x14ac:dyDescent="0.4">
      <c r="A540" s="33"/>
      <c r="B540" s="122"/>
      <c r="C540" s="33"/>
      <c r="D540" s="33" t="s">
        <v>739</v>
      </c>
      <c r="E540" s="33"/>
    </row>
    <row r="541" spans="1:6" x14ac:dyDescent="0.4">
      <c r="A541" s="33"/>
      <c r="B541" s="122"/>
      <c r="C541" s="33"/>
      <c r="D541" s="33" t="s">
        <v>740</v>
      </c>
      <c r="E541" s="33"/>
    </row>
    <row r="542" spans="1:6" x14ac:dyDescent="0.4">
      <c r="A542" s="33"/>
      <c r="B542" s="122"/>
      <c r="C542" s="33"/>
      <c r="D542" s="33" t="s">
        <v>741</v>
      </c>
      <c r="E542" s="33"/>
    </row>
    <row r="543" spans="1:6" x14ac:dyDescent="0.4">
      <c r="A543" s="33"/>
      <c r="B543" s="122"/>
      <c r="C543" s="33"/>
      <c r="D543" s="33" t="s">
        <v>742</v>
      </c>
      <c r="E543" s="33"/>
    </row>
    <row r="544" spans="1:6" x14ac:dyDescent="0.4">
      <c r="A544" s="33"/>
      <c r="B544" s="122"/>
      <c r="C544" s="33"/>
      <c r="D544" s="33" t="s">
        <v>743</v>
      </c>
      <c r="E544" s="33"/>
    </row>
    <row r="545" spans="1:6" x14ac:dyDescent="0.4">
      <c r="A545" s="33"/>
      <c r="B545" s="122"/>
      <c r="C545" s="33"/>
      <c r="D545" s="33" t="s">
        <v>744</v>
      </c>
      <c r="E545" s="33"/>
    </row>
    <row r="546" spans="1:6" x14ac:dyDescent="0.4">
      <c r="A546" s="33"/>
      <c r="B546" s="122"/>
      <c r="C546" s="33"/>
      <c r="D546" s="33" t="s">
        <v>745</v>
      </c>
      <c r="E546" s="33"/>
    </row>
    <row r="547" spans="1:6" x14ac:dyDescent="0.4">
      <c r="A547" s="33"/>
      <c r="B547" s="122"/>
      <c r="C547" s="123"/>
      <c r="D547" s="123" t="s">
        <v>746</v>
      </c>
      <c r="E547" s="123"/>
    </row>
    <row r="548" spans="1:6" x14ac:dyDescent="0.4">
      <c r="A548" s="33"/>
      <c r="B548" s="122"/>
      <c r="C548" s="33" t="s">
        <v>892</v>
      </c>
      <c r="D548" s="33" t="s">
        <v>123</v>
      </c>
      <c r="E548" s="33"/>
      <c r="F548" s="34" t="str">
        <f t="shared" ref="F539:F602" si="4">"太陽熱_"&amp;C548</f>
        <v>太陽熱_空気搬送ファンの自立運転用太陽光発電装置</v>
      </c>
    </row>
    <row r="549" spans="1:6" x14ac:dyDescent="0.4">
      <c r="A549" s="33"/>
      <c r="B549" s="122"/>
      <c r="C549" s="123"/>
      <c r="D549" s="123" t="s">
        <v>115</v>
      </c>
      <c r="E549" s="123"/>
    </row>
    <row r="550" spans="1:6" x14ac:dyDescent="0.4">
      <c r="A550" s="33"/>
      <c r="B550" s="122"/>
      <c r="C550" s="33" t="s">
        <v>893</v>
      </c>
      <c r="D550" s="33" t="s">
        <v>894</v>
      </c>
      <c r="E550" s="33"/>
      <c r="F550" s="34" t="str">
        <f t="shared" si="4"/>
        <v>太陽熱_空気搬送ファンの種別</v>
      </c>
    </row>
    <row r="551" spans="1:6" x14ac:dyDescent="0.4">
      <c r="A551" s="33"/>
      <c r="B551" s="122"/>
      <c r="C551" s="123"/>
      <c r="D551" s="123" t="s">
        <v>895</v>
      </c>
      <c r="E551" s="123"/>
    </row>
    <row r="552" spans="1:6" x14ac:dyDescent="0.4">
      <c r="A552" s="33"/>
      <c r="B552" s="122"/>
      <c r="C552" s="123" t="s">
        <v>896</v>
      </c>
      <c r="D552" s="123"/>
      <c r="E552" s="123" t="s">
        <v>388</v>
      </c>
      <c r="F552" s="34" t="str">
        <f t="shared" si="4"/>
        <v>太陽熱_機外静圧をゼロとした時の空気搬送ファンの風量</v>
      </c>
    </row>
    <row r="553" spans="1:6" x14ac:dyDescent="0.4">
      <c r="A553" s="33"/>
      <c r="B553" s="122"/>
      <c r="C553" s="33" t="s">
        <v>897</v>
      </c>
      <c r="D553" s="33" t="s">
        <v>898</v>
      </c>
      <c r="E553" s="33"/>
      <c r="F553" s="34" t="str">
        <f t="shared" si="4"/>
        <v>太陽熱_集熱した熱の給湯への利用</v>
      </c>
    </row>
    <row r="554" spans="1:6" x14ac:dyDescent="0.4">
      <c r="A554" s="33"/>
      <c r="B554" s="122"/>
      <c r="C554" s="123"/>
      <c r="D554" s="123" t="s">
        <v>272</v>
      </c>
      <c r="E554" s="123"/>
    </row>
    <row r="555" spans="1:6" x14ac:dyDescent="0.4">
      <c r="A555" s="33"/>
      <c r="B555" s="122"/>
      <c r="C555" s="33" t="s">
        <v>904</v>
      </c>
      <c r="D555" s="33" t="s">
        <v>123</v>
      </c>
      <c r="E555" s="33"/>
      <c r="F555" s="34" t="str">
        <f t="shared" si="4"/>
        <v>太陽熱_循環ポンプの自立運転用太陽光発電装置</v>
      </c>
    </row>
    <row r="556" spans="1:6" x14ac:dyDescent="0.4">
      <c r="A556" s="33"/>
      <c r="B556" s="122"/>
      <c r="C556" s="123"/>
      <c r="D556" s="123" t="s">
        <v>115</v>
      </c>
      <c r="E556" s="123"/>
    </row>
    <row r="557" spans="1:6" x14ac:dyDescent="0.4">
      <c r="A557" s="33"/>
      <c r="B557" s="122"/>
      <c r="C557" s="123" t="s">
        <v>905</v>
      </c>
      <c r="D557" s="123"/>
      <c r="E557" s="123" t="s">
        <v>866</v>
      </c>
      <c r="F557" s="34" t="str">
        <f t="shared" si="4"/>
        <v>太陽熱_給湯部のタンク容量</v>
      </c>
    </row>
    <row r="558" spans="1:6" x14ac:dyDescent="0.4">
      <c r="A558" s="33"/>
      <c r="B558" s="122"/>
      <c r="C558" s="33" t="s">
        <v>899</v>
      </c>
      <c r="D558" s="33" t="s">
        <v>900</v>
      </c>
      <c r="E558" s="33"/>
      <c r="F558" s="34" t="str">
        <f t="shared" si="4"/>
        <v>太陽熱_集熱後の空気を供給する空間</v>
      </c>
    </row>
    <row r="559" spans="1:6" x14ac:dyDescent="0.4">
      <c r="A559" s="33"/>
      <c r="B559" s="122"/>
      <c r="C559" s="123"/>
      <c r="D559" s="123" t="s">
        <v>901</v>
      </c>
      <c r="E559" s="123"/>
    </row>
    <row r="560" spans="1:6" x14ac:dyDescent="0.4">
      <c r="A560" s="33"/>
      <c r="B560" s="122"/>
      <c r="C560" s="123" t="s">
        <v>902</v>
      </c>
      <c r="D560" s="123"/>
      <c r="E560" s="123" t="s">
        <v>78</v>
      </c>
      <c r="F560" s="34" t="str">
        <f t="shared" si="4"/>
        <v>太陽熱_集熱後の空気を供給する床下の面積の割合</v>
      </c>
    </row>
    <row r="561" spans="1:6" x14ac:dyDescent="0.4">
      <c r="A561" s="33"/>
      <c r="B561" s="122"/>
      <c r="C561" s="33" t="s">
        <v>79</v>
      </c>
      <c r="D561" s="33" t="s">
        <v>80</v>
      </c>
      <c r="E561" s="33"/>
      <c r="F561" s="34" t="str">
        <f t="shared" si="4"/>
        <v>太陽熱_床下空間の断熱</v>
      </c>
    </row>
    <row r="562" spans="1:6" x14ac:dyDescent="0.4">
      <c r="A562" s="33"/>
      <c r="B562" s="124"/>
      <c r="C562" s="123"/>
      <c r="D562" s="123" t="s">
        <v>81</v>
      </c>
      <c r="E562" s="123"/>
    </row>
    <row r="563" spans="1:6" x14ac:dyDescent="0.4">
      <c r="A563" s="33"/>
      <c r="B563" s="122" t="s">
        <v>910</v>
      </c>
      <c r="C563" s="123" t="s">
        <v>919</v>
      </c>
      <c r="D563" s="123"/>
      <c r="E563" s="123" t="s">
        <v>903</v>
      </c>
      <c r="F563" s="34" t="str">
        <f t="shared" si="4"/>
        <v>太陽熱_集熱器群の面積_集熱器群その1</v>
      </c>
    </row>
    <row r="564" spans="1:6" x14ac:dyDescent="0.4">
      <c r="A564" s="33"/>
      <c r="B564" s="122"/>
      <c r="C564" s="33" t="s">
        <v>921</v>
      </c>
      <c r="D564" s="33" t="s">
        <v>747</v>
      </c>
      <c r="E564" s="33"/>
      <c r="F564" s="34" t="str">
        <f t="shared" si="4"/>
        <v>太陽熱_集熱器群の傾斜角_集熱器群その1</v>
      </c>
    </row>
    <row r="565" spans="1:6" x14ac:dyDescent="0.4">
      <c r="A565" s="33"/>
      <c r="B565" s="122"/>
      <c r="C565" s="33"/>
      <c r="D565" s="33" t="s">
        <v>748</v>
      </c>
      <c r="E565" s="33"/>
    </row>
    <row r="566" spans="1:6" x14ac:dyDescent="0.4">
      <c r="A566" s="33"/>
      <c r="B566" s="122"/>
      <c r="C566" s="33"/>
      <c r="D566" s="33" t="s">
        <v>749</v>
      </c>
      <c r="E566" s="33"/>
    </row>
    <row r="567" spans="1:6" x14ac:dyDescent="0.4">
      <c r="A567" s="33"/>
      <c r="B567" s="122"/>
      <c r="C567" s="33"/>
      <c r="D567" s="33" t="s">
        <v>750</v>
      </c>
      <c r="E567" s="33"/>
    </row>
    <row r="568" spans="1:6" x14ac:dyDescent="0.4">
      <c r="A568" s="33"/>
      <c r="B568" s="122"/>
      <c r="C568" s="33"/>
      <c r="D568" s="33" t="s">
        <v>751</v>
      </c>
      <c r="E568" s="33"/>
    </row>
    <row r="569" spans="1:6" x14ac:dyDescent="0.4">
      <c r="A569" s="33"/>
      <c r="B569" s="122"/>
      <c r="C569" s="33"/>
      <c r="D569" s="33" t="s">
        <v>752</v>
      </c>
      <c r="E569" s="33"/>
    </row>
    <row r="570" spans="1:6" x14ac:dyDescent="0.4">
      <c r="A570" s="33"/>
      <c r="B570" s="122"/>
      <c r="C570" s="33"/>
      <c r="D570" s="33" t="s">
        <v>753</v>
      </c>
      <c r="E570" s="33"/>
    </row>
    <row r="571" spans="1:6" x14ac:dyDescent="0.4">
      <c r="A571" s="33"/>
      <c r="B571" s="122"/>
      <c r="C571" s="33"/>
      <c r="D571" s="33" t="s">
        <v>754</v>
      </c>
      <c r="E571" s="33"/>
    </row>
    <row r="572" spans="1:6" x14ac:dyDescent="0.4">
      <c r="A572" s="33"/>
      <c r="B572" s="122"/>
      <c r="C572" s="33"/>
      <c r="D572" s="33" t="s">
        <v>755</v>
      </c>
      <c r="E572" s="33"/>
    </row>
    <row r="573" spans="1:6" x14ac:dyDescent="0.4">
      <c r="A573" s="33"/>
      <c r="B573" s="122"/>
      <c r="C573" s="123"/>
      <c r="D573" s="123" t="s">
        <v>756</v>
      </c>
      <c r="E573" s="123"/>
    </row>
    <row r="574" spans="1:6" x14ac:dyDescent="0.4">
      <c r="A574" s="33"/>
      <c r="B574" s="122"/>
      <c r="C574" s="33" t="s">
        <v>923</v>
      </c>
      <c r="D574" s="33" t="s">
        <v>97</v>
      </c>
      <c r="E574" s="33"/>
      <c r="F574" s="34" t="str">
        <f t="shared" si="4"/>
        <v>太陽熱_集熱器群の仕様の入力_集熱器群その1</v>
      </c>
    </row>
    <row r="575" spans="1:6" x14ac:dyDescent="0.4">
      <c r="A575" s="33"/>
      <c r="B575" s="122"/>
      <c r="C575" s="123"/>
      <c r="D575" s="123" t="s">
        <v>98</v>
      </c>
      <c r="E575" s="123"/>
    </row>
    <row r="576" spans="1:6" x14ac:dyDescent="0.4">
      <c r="A576" s="33"/>
      <c r="B576" s="122"/>
      <c r="C576" s="37" t="s">
        <v>925</v>
      </c>
      <c r="D576" s="126">
        <v>0.1</v>
      </c>
      <c r="E576" s="37" t="s">
        <v>71</v>
      </c>
      <c r="F576" s="34" t="str">
        <f t="shared" si="4"/>
        <v>太陽熱_集熱器の集熱効率特性線図一次近似式の切片_集熱器群その1</v>
      </c>
    </row>
    <row r="577" spans="1:6" x14ac:dyDescent="0.4">
      <c r="A577" s="33"/>
      <c r="B577" s="36"/>
      <c r="C577" s="37" t="s">
        <v>927</v>
      </c>
      <c r="D577" s="126" t="s">
        <v>909</v>
      </c>
      <c r="E577" s="37" t="s">
        <v>906</v>
      </c>
      <c r="F577" s="34" t="str">
        <f t="shared" si="4"/>
        <v>太陽熱_集熱器の集熱効率特性線図一次近似式の傾き_集熱器群その1</v>
      </c>
    </row>
    <row r="578" spans="1:6" x14ac:dyDescent="0.4">
      <c r="A578" s="33"/>
      <c r="B578" s="124"/>
      <c r="C578" s="123" t="s">
        <v>929</v>
      </c>
      <c r="D578" s="128" t="s">
        <v>916</v>
      </c>
      <c r="E578" s="123" t="s">
        <v>907</v>
      </c>
      <c r="F578" s="34" t="str">
        <f t="shared" si="4"/>
        <v>太陽熱_集熱器の集熱性能試験時における単位面積当たりの空気の質量流量_集熱器群その1</v>
      </c>
    </row>
    <row r="579" spans="1:6" x14ac:dyDescent="0.4">
      <c r="A579" s="33"/>
      <c r="B579" s="122" t="s">
        <v>911</v>
      </c>
      <c r="C579" s="33" t="s">
        <v>931</v>
      </c>
      <c r="D579" s="33"/>
      <c r="E579" s="33" t="s">
        <v>913</v>
      </c>
      <c r="F579" s="34" t="str">
        <f t="shared" si="4"/>
        <v>太陽熱_集熱器群の面積_集熱器群その2</v>
      </c>
    </row>
    <row r="580" spans="1:6" x14ac:dyDescent="0.4">
      <c r="A580" s="33"/>
      <c r="B580" s="122"/>
      <c r="C580" s="33" t="s">
        <v>933</v>
      </c>
      <c r="D580" s="33" t="s">
        <v>747</v>
      </c>
      <c r="E580" s="33"/>
      <c r="F580" s="34" t="str">
        <f t="shared" si="4"/>
        <v>太陽熱_集熱器群の傾斜角_集熱器群その2</v>
      </c>
    </row>
    <row r="581" spans="1:6" x14ac:dyDescent="0.4">
      <c r="A581" s="33"/>
      <c r="B581" s="122"/>
      <c r="C581" s="33"/>
      <c r="D581" s="33" t="s">
        <v>748</v>
      </c>
      <c r="E581" s="33"/>
    </row>
    <row r="582" spans="1:6" x14ac:dyDescent="0.4">
      <c r="A582" s="33"/>
      <c r="B582" s="122"/>
      <c r="C582" s="33"/>
      <c r="D582" s="33" t="s">
        <v>749</v>
      </c>
      <c r="E582" s="33"/>
    </row>
    <row r="583" spans="1:6" x14ac:dyDescent="0.4">
      <c r="A583" s="33"/>
      <c r="B583" s="122"/>
      <c r="C583" s="33"/>
      <c r="D583" s="33" t="s">
        <v>750</v>
      </c>
      <c r="E583" s="33"/>
    </row>
    <row r="584" spans="1:6" x14ac:dyDescent="0.4">
      <c r="A584" s="33"/>
      <c r="B584" s="122"/>
      <c r="C584" s="33"/>
      <c r="D584" s="33" t="s">
        <v>751</v>
      </c>
      <c r="E584" s="33"/>
    </row>
    <row r="585" spans="1:6" x14ac:dyDescent="0.4">
      <c r="A585" s="33"/>
      <c r="B585" s="122"/>
      <c r="C585" s="33"/>
      <c r="D585" s="33" t="s">
        <v>752</v>
      </c>
      <c r="E585" s="33"/>
    </row>
    <row r="586" spans="1:6" x14ac:dyDescent="0.4">
      <c r="A586" s="33"/>
      <c r="B586" s="122"/>
      <c r="C586" s="33"/>
      <c r="D586" s="33" t="s">
        <v>753</v>
      </c>
      <c r="E586" s="33"/>
    </row>
    <row r="587" spans="1:6" x14ac:dyDescent="0.4">
      <c r="A587" s="33"/>
      <c r="B587" s="122"/>
      <c r="C587" s="33"/>
      <c r="D587" s="33" t="s">
        <v>754</v>
      </c>
      <c r="E587" s="33"/>
    </row>
    <row r="588" spans="1:6" x14ac:dyDescent="0.4">
      <c r="A588" s="33"/>
      <c r="B588" s="122"/>
      <c r="C588" s="33"/>
      <c r="D588" s="33" t="s">
        <v>755</v>
      </c>
      <c r="E588" s="33"/>
    </row>
    <row r="589" spans="1:6" x14ac:dyDescent="0.4">
      <c r="A589" s="33"/>
      <c r="B589" s="122"/>
      <c r="C589" s="33"/>
      <c r="D589" s="33" t="s">
        <v>756</v>
      </c>
      <c r="E589" s="33"/>
    </row>
    <row r="590" spans="1:6" x14ac:dyDescent="0.4">
      <c r="A590" s="33"/>
      <c r="B590" s="122"/>
      <c r="C590" s="33" t="s">
        <v>935</v>
      </c>
      <c r="D590" s="33" t="s">
        <v>97</v>
      </c>
      <c r="E590" s="33"/>
      <c r="F590" s="34" t="str">
        <f t="shared" si="4"/>
        <v>太陽熱_集熱器群の仕様の入力_集熱器群その2</v>
      </c>
    </row>
    <row r="591" spans="1:6" x14ac:dyDescent="0.4">
      <c r="A591" s="33"/>
      <c r="B591" s="122"/>
      <c r="C591" s="33"/>
      <c r="D591" s="33" t="s">
        <v>98</v>
      </c>
      <c r="E591" s="33"/>
    </row>
    <row r="592" spans="1:6" x14ac:dyDescent="0.4">
      <c r="A592" s="33"/>
      <c r="B592" s="122"/>
      <c r="C592" s="33" t="s">
        <v>937</v>
      </c>
      <c r="D592" s="127" t="s">
        <v>915</v>
      </c>
      <c r="E592" s="33" t="s">
        <v>71</v>
      </c>
      <c r="F592" s="34" t="str">
        <f t="shared" si="4"/>
        <v>太陽熱_集熱器の集熱効率特性線図一次近似式の切片_集熱器群その2</v>
      </c>
    </row>
    <row r="593" spans="1:6" x14ac:dyDescent="0.4">
      <c r="A593" s="33"/>
      <c r="B593" s="122"/>
      <c r="C593" s="33" t="s">
        <v>939</v>
      </c>
      <c r="D593" s="127" t="s">
        <v>909</v>
      </c>
      <c r="E593" s="33" t="s">
        <v>906</v>
      </c>
      <c r="F593" s="34" t="str">
        <f t="shared" si="4"/>
        <v>太陽熱_集熱器の集熱効率特性線図一次近似式の傾き_集熱器群その2</v>
      </c>
    </row>
    <row r="594" spans="1:6" x14ac:dyDescent="0.4">
      <c r="A594" s="33"/>
      <c r="B594" s="124"/>
      <c r="C594" s="123" t="s">
        <v>941</v>
      </c>
      <c r="D594" s="128" t="s">
        <v>917</v>
      </c>
      <c r="E594" s="123" t="s">
        <v>907</v>
      </c>
      <c r="F594" s="34" t="str">
        <f t="shared" si="4"/>
        <v>太陽熱_集熱器の集熱性能試験時における単位面積当たりの空気の質量流量_集熱器群その2</v>
      </c>
    </row>
    <row r="595" spans="1:6" x14ac:dyDescent="0.4">
      <c r="A595" s="33"/>
      <c r="B595" s="122" t="s">
        <v>912</v>
      </c>
      <c r="C595" s="123" t="s">
        <v>943</v>
      </c>
      <c r="D595" s="123"/>
      <c r="E595" s="123" t="s">
        <v>913</v>
      </c>
      <c r="F595" s="34" t="str">
        <f t="shared" si="4"/>
        <v>太陽熱_集熱器群の面積_集熱器群その3</v>
      </c>
    </row>
    <row r="596" spans="1:6" x14ac:dyDescent="0.4">
      <c r="A596" s="33"/>
      <c r="B596" s="122"/>
      <c r="C596" s="33" t="s">
        <v>945</v>
      </c>
      <c r="D596" s="33" t="s">
        <v>747</v>
      </c>
      <c r="E596" s="33"/>
      <c r="F596" s="34" t="str">
        <f t="shared" si="4"/>
        <v>太陽熱_集熱器群の傾斜角_集熱器群その3</v>
      </c>
    </row>
    <row r="597" spans="1:6" x14ac:dyDescent="0.4">
      <c r="A597" s="33"/>
      <c r="B597" s="122"/>
      <c r="C597" s="33"/>
      <c r="D597" s="33" t="s">
        <v>748</v>
      </c>
      <c r="E597" s="33"/>
    </row>
    <row r="598" spans="1:6" x14ac:dyDescent="0.4">
      <c r="A598" s="33"/>
      <c r="B598" s="122"/>
      <c r="C598" s="33"/>
      <c r="D598" s="33" t="s">
        <v>749</v>
      </c>
      <c r="E598" s="33"/>
    </row>
    <row r="599" spans="1:6" x14ac:dyDescent="0.4">
      <c r="A599" s="33"/>
      <c r="B599" s="122"/>
      <c r="C599" s="33"/>
      <c r="D599" s="33" t="s">
        <v>750</v>
      </c>
      <c r="E599" s="33"/>
    </row>
    <row r="600" spans="1:6" x14ac:dyDescent="0.4">
      <c r="A600" s="33"/>
      <c r="B600" s="122"/>
      <c r="C600" s="33"/>
      <c r="D600" s="33" t="s">
        <v>751</v>
      </c>
      <c r="E600" s="33"/>
    </row>
    <row r="601" spans="1:6" x14ac:dyDescent="0.4">
      <c r="A601" s="33"/>
      <c r="B601" s="122"/>
      <c r="C601" s="33"/>
      <c r="D601" s="33" t="s">
        <v>752</v>
      </c>
      <c r="E601" s="33"/>
    </row>
    <row r="602" spans="1:6" x14ac:dyDescent="0.4">
      <c r="A602" s="33"/>
      <c r="B602" s="122"/>
      <c r="C602" s="33"/>
      <c r="D602" s="33" t="s">
        <v>753</v>
      </c>
      <c r="E602" s="33"/>
    </row>
    <row r="603" spans="1:6" x14ac:dyDescent="0.4">
      <c r="A603" s="33"/>
      <c r="B603" s="122"/>
      <c r="C603" s="33"/>
      <c r="D603" s="33" t="s">
        <v>754</v>
      </c>
      <c r="E603" s="33"/>
    </row>
    <row r="604" spans="1:6" x14ac:dyDescent="0.4">
      <c r="A604" s="33"/>
      <c r="B604" s="122"/>
      <c r="C604" s="33"/>
      <c r="D604" s="33" t="s">
        <v>755</v>
      </c>
      <c r="E604" s="33"/>
    </row>
    <row r="605" spans="1:6" x14ac:dyDescent="0.4">
      <c r="A605" s="33"/>
      <c r="B605" s="122"/>
      <c r="C605" s="123"/>
      <c r="D605" s="123" t="s">
        <v>756</v>
      </c>
      <c r="E605" s="123"/>
    </row>
    <row r="606" spans="1:6" x14ac:dyDescent="0.4">
      <c r="A606" s="33"/>
      <c r="B606" s="122"/>
      <c r="C606" s="33" t="s">
        <v>947</v>
      </c>
      <c r="D606" s="33" t="s">
        <v>97</v>
      </c>
      <c r="E606" s="33"/>
      <c r="F606" s="34" t="str">
        <f t="shared" ref="F603:F610" si="5">"太陽熱_"&amp;C606</f>
        <v>太陽熱_集熱器群の仕様の入力_集熱器群その3</v>
      </c>
    </row>
    <row r="607" spans="1:6" x14ac:dyDescent="0.4">
      <c r="A607" s="33"/>
      <c r="B607" s="122"/>
      <c r="C607" s="123"/>
      <c r="D607" s="123" t="s">
        <v>98</v>
      </c>
      <c r="E607" s="123"/>
    </row>
    <row r="608" spans="1:6" x14ac:dyDescent="0.4">
      <c r="A608" s="33"/>
      <c r="B608" s="122"/>
      <c r="C608" s="123" t="s">
        <v>949</v>
      </c>
      <c r="D608" s="128" t="s">
        <v>915</v>
      </c>
      <c r="E608" s="123" t="s">
        <v>71</v>
      </c>
      <c r="F608" s="34" t="str">
        <f t="shared" si="5"/>
        <v>太陽熱_集熱器の集熱効率特性線図一次近似式の切片_集熱器群その3</v>
      </c>
    </row>
    <row r="609" spans="1:6" x14ac:dyDescent="0.4">
      <c r="A609" s="33"/>
      <c r="B609" s="122"/>
      <c r="C609" s="123" t="s">
        <v>951</v>
      </c>
      <c r="D609" s="128" t="s">
        <v>909</v>
      </c>
      <c r="E609" s="123" t="s">
        <v>906</v>
      </c>
      <c r="F609" s="34" t="str">
        <f t="shared" si="5"/>
        <v>太陽熱_集熱器の集熱効率特性線図一次近似式の傾き_集熱器群その3</v>
      </c>
    </row>
    <row r="610" spans="1:6" x14ac:dyDescent="0.4">
      <c r="A610" s="123"/>
      <c r="B610" s="124"/>
      <c r="C610" s="123" t="s">
        <v>953</v>
      </c>
      <c r="D610" s="128" t="s">
        <v>917</v>
      </c>
      <c r="E610" s="123" t="s">
        <v>907</v>
      </c>
      <c r="F610" s="34" t="str">
        <f t="shared" si="5"/>
        <v>太陽熱_集熱器の集熱性能試験時における単位面積当たりの空気の質量流量_集熱器群その3</v>
      </c>
    </row>
  </sheetData>
  <phoneticPr fontId="1"/>
  <conditionalFormatting sqref="D1:D329 D331:D1048576">
    <cfRule type="duplicateValues" dxfId="2" priority="2"/>
  </conditionalFormatting>
  <conditionalFormatting sqref="C389:C391 C393 C395:C396 C403:C409 C1:C329 C330:D330 C331:C379 C383:C387 C381 C411:C419 C421 C423:C424 C431:C437 C439:C447 C449 C451:C452 C459:C465 C467:C1048576">
    <cfRule type="duplicateValues" dxfId="1" priority="8"/>
  </conditionalFormatting>
  <pageMargins left="0.7" right="0.7" top="0.75" bottom="0.75" header="0.3" footer="0.3"/>
  <pageSetup paperSize="9" orientation="portrait" horizontalDpi="1200" verticalDpi="1200" r:id="rId1"/>
  <ignoredErrors>
    <ignoredError sqref="D103:D112 D90 D82 D93:D102" numberStoredAsText="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3A753-7803-4E97-A16D-668234E35537}">
  <sheetPr codeName="Sheet21"/>
  <dimension ref="A1:H220"/>
  <sheetViews>
    <sheetView workbookViewId="0"/>
    <sheetView workbookViewId="1"/>
  </sheetViews>
  <sheetFormatPr defaultRowHeight="16.5" x14ac:dyDescent="0.4"/>
  <cols>
    <col min="1" max="1" width="6.25" style="2" bestFit="1" customWidth="1"/>
    <col min="2" max="2" width="8.25" style="24" bestFit="1" customWidth="1"/>
    <col min="3" max="3" width="44.125" style="24" bestFit="1" customWidth="1"/>
    <col min="4" max="4" width="56.25" style="24" bestFit="1" customWidth="1"/>
    <col min="5" max="5" width="71.25" style="24" bestFit="1" customWidth="1"/>
    <col min="6" max="6" width="51.75" style="24" bestFit="1" customWidth="1"/>
    <col min="7" max="7" width="9" style="24" bestFit="1" customWidth="1"/>
    <col min="8" max="8" width="8.75" style="24" bestFit="1" customWidth="1"/>
    <col min="9" max="16384" width="9" style="24"/>
  </cols>
  <sheetData>
    <row r="1" spans="1:8" x14ac:dyDescent="0.4">
      <c r="A1" s="19" t="s">
        <v>157</v>
      </c>
      <c r="B1" s="19" t="s">
        <v>273</v>
      </c>
      <c r="C1" s="19" t="s">
        <v>159</v>
      </c>
      <c r="D1" s="19" t="s">
        <v>155</v>
      </c>
      <c r="E1" s="19" t="s">
        <v>193</v>
      </c>
      <c r="F1" s="19" t="s">
        <v>194</v>
      </c>
      <c r="G1" s="19" t="s">
        <v>174</v>
      </c>
      <c r="H1" s="19" t="s">
        <v>215</v>
      </c>
    </row>
    <row r="2" spans="1:8" x14ac:dyDescent="0.4">
      <c r="A2" s="2">
        <f>ROW()-1</f>
        <v>1</v>
      </c>
      <c r="B2" s="24" t="s">
        <v>171</v>
      </c>
      <c r="C2" s="24" t="s">
        <v>145</v>
      </c>
      <c r="D2" s="24" t="s">
        <v>3</v>
      </c>
      <c r="G2" s="24" t="str">
        <f>LEFT(C2, FIND("_", C2) - 1)</f>
        <v>基本01</v>
      </c>
      <c r="H2" s="24" t="str">
        <f>テーブル2[[#This Row],[Sheet]]&amp;TEXT(ROW()-1,"00")</f>
        <v>基本01</v>
      </c>
    </row>
    <row r="3" spans="1:8" x14ac:dyDescent="0.4">
      <c r="A3" s="2">
        <f t="shared" ref="A3:A30" si="0">ROW()-1</f>
        <v>2</v>
      </c>
      <c r="B3" s="24" t="s">
        <v>170</v>
      </c>
      <c r="C3" s="24" t="s">
        <v>146</v>
      </c>
      <c r="D3" s="24" t="s">
        <v>172</v>
      </c>
      <c r="G3" s="24" t="str">
        <f t="shared" ref="G3:G31" si="1">LEFT(C3, FIND("_", C3) - 1)</f>
        <v>基本02</v>
      </c>
      <c r="H3" s="24" t="str">
        <f>テーブル2[[#This Row],[Sheet]]&amp;TEXT(ROW()-1,"00")</f>
        <v>基本02</v>
      </c>
    </row>
    <row r="4" spans="1:8" x14ac:dyDescent="0.4">
      <c r="A4" s="2">
        <f t="shared" si="0"/>
        <v>3</v>
      </c>
      <c r="B4" s="24" t="s">
        <v>170</v>
      </c>
      <c r="C4" s="24" t="s">
        <v>144</v>
      </c>
      <c r="D4" s="24" t="s">
        <v>156</v>
      </c>
      <c r="G4" s="24" t="str">
        <f t="shared" si="1"/>
        <v>基本03</v>
      </c>
      <c r="H4" s="24" t="str">
        <f>テーブル2[[#This Row],[Sheet]]&amp;TEXT(ROW()-1,"00")</f>
        <v>基本03</v>
      </c>
    </row>
    <row r="5" spans="1:8" x14ac:dyDescent="0.4">
      <c r="A5" s="2">
        <f t="shared" si="0"/>
        <v>4</v>
      </c>
      <c r="B5" s="24" t="s">
        <v>170</v>
      </c>
      <c r="C5" s="24" t="s">
        <v>143</v>
      </c>
      <c r="D5" s="24" t="s">
        <v>169</v>
      </c>
      <c r="G5" s="24" t="str">
        <f t="shared" si="1"/>
        <v>基本03</v>
      </c>
      <c r="H5" s="24" t="str">
        <f>テーブル2[[#This Row],[Sheet]]&amp;TEXT(ROW()-1,"00")</f>
        <v>基本04</v>
      </c>
    </row>
    <row r="6" spans="1:8" x14ac:dyDescent="0.4">
      <c r="A6" s="2">
        <f t="shared" si="0"/>
        <v>5</v>
      </c>
      <c r="B6" s="24" t="s">
        <v>170</v>
      </c>
      <c r="C6" s="24" t="s">
        <v>148</v>
      </c>
      <c r="D6" s="24" t="s">
        <v>4</v>
      </c>
      <c r="E6" s="24" t="s">
        <v>217</v>
      </c>
      <c r="F6" s="24" t="s">
        <v>199</v>
      </c>
      <c r="G6" s="24" t="str">
        <f t="shared" si="1"/>
        <v>基本04</v>
      </c>
      <c r="H6" s="24" t="str">
        <f>テーブル2[[#This Row],[Sheet]]&amp;TEXT(ROW()-1,"00")</f>
        <v>基本05</v>
      </c>
    </row>
    <row r="7" spans="1:8" x14ac:dyDescent="0.4">
      <c r="A7" s="2">
        <f t="shared" si="0"/>
        <v>6</v>
      </c>
      <c r="B7" s="24" t="s">
        <v>171</v>
      </c>
      <c r="C7" s="24" t="s">
        <v>147</v>
      </c>
      <c r="D7" s="24" t="s">
        <v>5</v>
      </c>
      <c r="E7" s="24" t="s">
        <v>217</v>
      </c>
      <c r="F7" s="24" t="s">
        <v>200</v>
      </c>
      <c r="G7" s="24" t="str">
        <f t="shared" si="1"/>
        <v>基本04</v>
      </c>
      <c r="H7" s="24" t="str">
        <f>テーブル2[[#This Row],[Sheet]]&amp;TEXT(ROW()-1,"00")</f>
        <v>基本06</v>
      </c>
    </row>
    <row r="8" spans="1:8" x14ac:dyDescent="0.4">
      <c r="A8" s="2">
        <f t="shared" si="0"/>
        <v>7</v>
      </c>
      <c r="B8" s="24" t="s">
        <v>170</v>
      </c>
      <c r="C8" s="24" t="s">
        <v>149</v>
      </c>
      <c r="D8" s="24" t="s">
        <v>36</v>
      </c>
      <c r="E8" s="24" t="s">
        <v>197</v>
      </c>
      <c r="F8" s="24" t="s">
        <v>198</v>
      </c>
      <c r="G8" s="24" t="str">
        <f t="shared" si="1"/>
        <v>基本05</v>
      </c>
      <c r="H8" s="24" t="str">
        <f>テーブル2[[#This Row],[Sheet]]&amp;TEXT(ROW()-1,"00")</f>
        <v>基本07</v>
      </c>
    </row>
    <row r="9" spans="1:8" x14ac:dyDescent="0.4">
      <c r="A9" s="2">
        <f t="shared" si="0"/>
        <v>8</v>
      </c>
      <c r="B9" s="24" t="s">
        <v>170</v>
      </c>
      <c r="C9" s="24" t="s">
        <v>149</v>
      </c>
      <c r="D9" s="24" t="s">
        <v>37</v>
      </c>
      <c r="E9" s="24" t="s">
        <v>197</v>
      </c>
      <c r="F9" s="24" t="s">
        <v>216</v>
      </c>
      <c r="G9" s="24" t="str">
        <f t="shared" si="1"/>
        <v>基本05</v>
      </c>
      <c r="H9" s="24" t="str">
        <f>テーブル2[[#This Row],[Sheet]]&amp;TEXT(ROW()-1,"00")</f>
        <v>基本08</v>
      </c>
    </row>
    <row r="10" spans="1:8" x14ac:dyDescent="0.4">
      <c r="A10" s="2">
        <f t="shared" si="0"/>
        <v>9</v>
      </c>
      <c r="B10" s="24" t="s">
        <v>170</v>
      </c>
      <c r="C10" s="24" t="s">
        <v>178</v>
      </c>
      <c r="D10" s="24" t="s">
        <v>189</v>
      </c>
      <c r="E10" s="24" t="s">
        <v>195</v>
      </c>
      <c r="F10" s="24" t="s">
        <v>201</v>
      </c>
      <c r="G10" s="24" t="str">
        <f t="shared" si="1"/>
        <v>基本06</v>
      </c>
      <c r="H10" s="24" t="str">
        <f>テーブル2[[#This Row],[Sheet]]&amp;TEXT(ROW()-1,"00")</f>
        <v>基本09</v>
      </c>
    </row>
    <row r="11" spans="1:8" x14ac:dyDescent="0.4">
      <c r="A11" s="2">
        <f t="shared" si="0"/>
        <v>10</v>
      </c>
      <c r="B11" s="24" t="s">
        <v>170</v>
      </c>
      <c r="C11" s="24" t="s">
        <v>178</v>
      </c>
      <c r="D11" s="24" t="s">
        <v>190</v>
      </c>
      <c r="E11" s="24" t="s">
        <v>195</v>
      </c>
      <c r="F11" s="24" t="s">
        <v>196</v>
      </c>
      <c r="G11" s="24" t="str">
        <f t="shared" si="1"/>
        <v>基本06</v>
      </c>
      <c r="H11" s="24" t="str">
        <f>テーブル2[[#This Row],[Sheet]]&amp;TEXT(ROW()-1,"00")</f>
        <v>基本10</v>
      </c>
    </row>
    <row r="12" spans="1:8" x14ac:dyDescent="0.4">
      <c r="A12" s="2">
        <f t="shared" si="0"/>
        <v>11</v>
      </c>
      <c r="B12" s="24" t="s">
        <v>170</v>
      </c>
      <c r="C12" s="24" t="s">
        <v>179</v>
      </c>
      <c r="D12" s="24" t="s">
        <v>191</v>
      </c>
      <c r="F12" s="23"/>
      <c r="G12" s="24" t="str">
        <f t="shared" si="1"/>
        <v>基本07</v>
      </c>
      <c r="H12" s="24" t="str">
        <f>テーブル2[[#This Row],[Sheet]]&amp;TEXT(ROW()-1,"00")</f>
        <v>基本11</v>
      </c>
    </row>
    <row r="13" spans="1:8" x14ac:dyDescent="0.4">
      <c r="A13" s="2">
        <f t="shared" si="0"/>
        <v>12</v>
      </c>
      <c r="B13" s="24" t="s">
        <v>170</v>
      </c>
      <c r="C13" s="24" t="s">
        <v>179</v>
      </c>
      <c r="D13" s="24" t="s">
        <v>192</v>
      </c>
      <c r="F13" s="23"/>
      <c r="G13" s="24" t="str">
        <f t="shared" si="1"/>
        <v>基本07</v>
      </c>
      <c r="H13" s="24" t="str">
        <f>テーブル2[[#This Row],[Sheet]]&amp;TEXT(ROW()-1,"00")</f>
        <v>基本12</v>
      </c>
    </row>
    <row r="14" spans="1:8" x14ac:dyDescent="0.4">
      <c r="A14" s="2">
        <f t="shared" si="0"/>
        <v>13</v>
      </c>
      <c r="B14" s="24" t="s">
        <v>170</v>
      </c>
      <c r="C14" s="24" t="s">
        <v>175</v>
      </c>
      <c r="D14" s="25">
        <v>29.81</v>
      </c>
      <c r="F14" s="23"/>
      <c r="G14" s="24" t="str">
        <f t="shared" si="1"/>
        <v>基本08</v>
      </c>
      <c r="H14" s="24" t="str">
        <f>テーブル2[[#This Row],[Sheet]]&amp;TEXT(ROW()-1,"00")</f>
        <v>基本13</v>
      </c>
    </row>
    <row r="15" spans="1:8" x14ac:dyDescent="0.4">
      <c r="A15" s="2">
        <f t="shared" si="0"/>
        <v>14</v>
      </c>
      <c r="B15" s="24" t="s">
        <v>170</v>
      </c>
      <c r="C15" s="24" t="s">
        <v>180</v>
      </c>
      <c r="D15" s="25">
        <v>51.34</v>
      </c>
      <c r="F15" s="23"/>
      <c r="G15" s="24" t="str">
        <f t="shared" si="1"/>
        <v>基本09</v>
      </c>
      <c r="H15" s="24" t="str">
        <f>テーブル2[[#This Row],[Sheet]]&amp;TEXT(ROW()-1,"00")</f>
        <v>基本14</v>
      </c>
    </row>
    <row r="16" spans="1:8" x14ac:dyDescent="0.4">
      <c r="A16" s="2">
        <f t="shared" si="0"/>
        <v>15</v>
      </c>
      <c r="B16" s="24" t="s">
        <v>170</v>
      </c>
      <c r="C16" s="24" t="s">
        <v>181</v>
      </c>
      <c r="D16" s="25">
        <v>120.08</v>
      </c>
      <c r="F16" s="23"/>
      <c r="G16" s="24" t="str">
        <f t="shared" si="1"/>
        <v>基本10</v>
      </c>
      <c r="H16" s="24" t="str">
        <f>テーブル2[[#This Row],[Sheet]]&amp;TEXT(ROW()-1,"00")</f>
        <v>基本15</v>
      </c>
    </row>
    <row r="17" spans="1:8" x14ac:dyDescent="0.4">
      <c r="A17" s="2">
        <f t="shared" si="0"/>
        <v>16</v>
      </c>
      <c r="B17" s="24" t="s">
        <v>170</v>
      </c>
      <c r="C17" s="24" t="s">
        <v>182</v>
      </c>
      <c r="D17" s="24" t="s">
        <v>41</v>
      </c>
      <c r="F17" s="23"/>
      <c r="G17" s="24" t="str">
        <f t="shared" si="1"/>
        <v>基本11</v>
      </c>
      <c r="H17" s="24" t="str">
        <f>テーブル2[[#This Row],[Sheet]]&amp;TEXT(ROW()-1,"00")</f>
        <v>基本16</v>
      </c>
    </row>
    <row r="18" spans="1:8" x14ac:dyDescent="0.4">
      <c r="A18" s="2">
        <f t="shared" si="0"/>
        <v>17</v>
      </c>
      <c r="B18" s="24" t="s">
        <v>170</v>
      </c>
      <c r="C18" s="24" t="s">
        <v>182</v>
      </c>
      <c r="D18" s="24" t="s">
        <v>42</v>
      </c>
      <c r="F18" s="23"/>
      <c r="G18" s="24" t="str">
        <f t="shared" si="1"/>
        <v>基本11</v>
      </c>
      <c r="H18" s="24" t="str">
        <f>テーブル2[[#This Row],[Sheet]]&amp;TEXT(ROW()-1,"00")</f>
        <v>基本17</v>
      </c>
    </row>
    <row r="19" spans="1:8" x14ac:dyDescent="0.4">
      <c r="A19" s="2">
        <f t="shared" si="0"/>
        <v>18</v>
      </c>
      <c r="B19" s="24" t="s">
        <v>170</v>
      </c>
      <c r="C19" s="24" t="s">
        <v>182</v>
      </c>
      <c r="D19" s="24" t="s">
        <v>43</v>
      </c>
      <c r="F19" s="23"/>
      <c r="G19" s="24" t="str">
        <f t="shared" si="1"/>
        <v>基本11</v>
      </c>
      <c r="H19" s="24" t="str">
        <f>テーブル2[[#This Row],[Sheet]]&amp;TEXT(ROW()-1,"00")</f>
        <v>基本18</v>
      </c>
    </row>
    <row r="20" spans="1:8" x14ac:dyDescent="0.4">
      <c r="A20" s="2">
        <f t="shared" si="0"/>
        <v>19</v>
      </c>
      <c r="B20" s="24" t="s">
        <v>170</v>
      </c>
      <c r="C20" s="24" t="s">
        <v>182</v>
      </c>
      <c r="D20" s="24" t="s">
        <v>44</v>
      </c>
      <c r="F20" s="23"/>
      <c r="G20" s="24" t="str">
        <f t="shared" si="1"/>
        <v>基本11</v>
      </c>
      <c r="H20" s="24" t="str">
        <f>テーブル2[[#This Row],[Sheet]]&amp;TEXT(ROW()-1,"00")</f>
        <v>基本19</v>
      </c>
    </row>
    <row r="21" spans="1:8" x14ac:dyDescent="0.4">
      <c r="A21" s="2">
        <f t="shared" si="0"/>
        <v>20</v>
      </c>
      <c r="B21" s="24" t="s">
        <v>170</v>
      </c>
      <c r="C21" s="24" t="s">
        <v>182</v>
      </c>
      <c r="D21" s="24" t="s">
        <v>45</v>
      </c>
      <c r="F21" s="23"/>
      <c r="G21" s="24" t="str">
        <f t="shared" si="1"/>
        <v>基本11</v>
      </c>
      <c r="H21" s="24" t="str">
        <f>テーブル2[[#This Row],[Sheet]]&amp;TEXT(ROW()-1,"00")</f>
        <v>基本20</v>
      </c>
    </row>
    <row r="22" spans="1:8" x14ac:dyDescent="0.4">
      <c r="A22" s="2">
        <f t="shared" si="0"/>
        <v>21</v>
      </c>
      <c r="B22" s="24" t="s">
        <v>170</v>
      </c>
      <c r="C22" s="24" t="s">
        <v>182</v>
      </c>
      <c r="D22" s="24" t="s">
        <v>274</v>
      </c>
      <c r="F22" s="23"/>
      <c r="G22" s="24" t="str">
        <f t="shared" si="1"/>
        <v>基本11</v>
      </c>
      <c r="H22" s="24" t="str">
        <f>テーブル2[[#This Row],[Sheet]]&amp;TEXT(ROW()-1,"00")</f>
        <v>基本21</v>
      </c>
    </row>
    <row r="23" spans="1:8" x14ac:dyDescent="0.4">
      <c r="A23" s="2">
        <f t="shared" si="0"/>
        <v>22</v>
      </c>
      <c r="B23" s="24" t="s">
        <v>170</v>
      </c>
      <c r="C23" s="24" t="s">
        <v>182</v>
      </c>
      <c r="D23" s="24" t="s">
        <v>47</v>
      </c>
      <c r="F23" s="23"/>
      <c r="G23" s="24" t="str">
        <f t="shared" si="1"/>
        <v>基本11</v>
      </c>
      <c r="H23" s="24" t="str">
        <f>テーブル2[[#This Row],[Sheet]]&amp;TEXT(ROW()-1,"00")</f>
        <v>基本22</v>
      </c>
    </row>
    <row r="24" spans="1:8" x14ac:dyDescent="0.4">
      <c r="A24" s="2">
        <f t="shared" si="0"/>
        <v>23</v>
      </c>
      <c r="B24" s="24" t="s">
        <v>170</v>
      </c>
      <c r="C24" s="24" t="s">
        <v>182</v>
      </c>
      <c r="D24" s="24" t="s">
        <v>48</v>
      </c>
      <c r="F24" s="23"/>
      <c r="G24" s="24" t="str">
        <f t="shared" si="1"/>
        <v>基本11</v>
      </c>
      <c r="H24" s="24" t="str">
        <f>テーブル2[[#This Row],[Sheet]]&amp;TEXT(ROW()-1,"00")</f>
        <v>基本23</v>
      </c>
    </row>
    <row r="25" spans="1:8" s="26" customFormat="1" x14ac:dyDescent="0.4">
      <c r="A25" s="2">
        <f t="shared" si="0"/>
        <v>24</v>
      </c>
      <c r="B25" s="26" t="s">
        <v>170</v>
      </c>
      <c r="C25" s="26" t="s">
        <v>183</v>
      </c>
      <c r="D25" s="26" t="s">
        <v>49</v>
      </c>
      <c r="E25" s="26" t="s">
        <v>187</v>
      </c>
      <c r="F25" s="26" t="s">
        <v>186</v>
      </c>
      <c r="G25" s="26" t="str">
        <f t="shared" si="1"/>
        <v>基本12</v>
      </c>
      <c r="H25" s="24" t="str">
        <f>テーブル2[[#This Row],[Sheet]]&amp;TEXT(ROW()-1,"00")</f>
        <v>基本24</v>
      </c>
    </row>
    <row r="26" spans="1:8" s="26" customFormat="1" x14ac:dyDescent="0.4">
      <c r="A26" s="2">
        <f t="shared" si="0"/>
        <v>25</v>
      </c>
      <c r="B26" s="26" t="s">
        <v>170</v>
      </c>
      <c r="C26" s="26" t="s">
        <v>183</v>
      </c>
      <c r="D26" s="26" t="s">
        <v>173</v>
      </c>
      <c r="E26" s="26" t="s">
        <v>187</v>
      </c>
      <c r="F26" s="26" t="s">
        <v>188</v>
      </c>
      <c r="G26" s="26" t="str">
        <f t="shared" si="1"/>
        <v>基本12</v>
      </c>
      <c r="H26" s="24" t="str">
        <f>テーブル2[[#This Row],[Sheet]]&amp;TEXT(ROW()-1,"00")</f>
        <v>基本25</v>
      </c>
    </row>
    <row r="27" spans="1:8" x14ac:dyDescent="0.4">
      <c r="A27" s="2">
        <f t="shared" si="0"/>
        <v>26</v>
      </c>
      <c r="B27" s="24" t="s">
        <v>170</v>
      </c>
      <c r="C27" s="24" t="s">
        <v>184</v>
      </c>
      <c r="D27" s="24" t="s">
        <v>50</v>
      </c>
      <c r="E27" s="26"/>
      <c r="F27" s="26"/>
      <c r="G27" s="24" t="str">
        <f t="shared" si="1"/>
        <v>基本13</v>
      </c>
      <c r="H27" s="24" t="str">
        <f>テーブル2[[#This Row],[Sheet]]&amp;TEXT(ROW()-1,"00")</f>
        <v>基本26</v>
      </c>
    </row>
    <row r="28" spans="1:8" x14ac:dyDescent="0.4">
      <c r="A28" s="2">
        <f t="shared" si="0"/>
        <v>27</v>
      </c>
      <c r="B28" s="24" t="s">
        <v>170</v>
      </c>
      <c r="C28" s="24" t="s">
        <v>184</v>
      </c>
      <c r="D28" s="24" t="s">
        <v>51</v>
      </c>
      <c r="E28" s="26"/>
      <c r="F28" s="26"/>
      <c r="G28" s="24" t="str">
        <f t="shared" si="1"/>
        <v>基本13</v>
      </c>
      <c r="H28" s="24" t="str">
        <f>テーブル2[[#This Row],[Sheet]]&amp;TEXT(ROW()-1,"00")</f>
        <v>基本27</v>
      </c>
    </row>
    <row r="29" spans="1:8" x14ac:dyDescent="0.4">
      <c r="A29" s="2">
        <f t="shared" si="0"/>
        <v>28</v>
      </c>
      <c r="B29" s="24" t="s">
        <v>170</v>
      </c>
      <c r="C29" s="24" t="s">
        <v>184</v>
      </c>
      <c r="D29" s="24" t="s">
        <v>52</v>
      </c>
      <c r="E29" s="26"/>
      <c r="F29" s="26"/>
      <c r="G29" s="24" t="str">
        <f t="shared" si="1"/>
        <v>基本13</v>
      </c>
      <c r="H29" s="24" t="str">
        <f>テーブル2[[#This Row],[Sheet]]&amp;TEXT(ROW()-1,"00")</f>
        <v>基本28</v>
      </c>
    </row>
    <row r="30" spans="1:8" x14ac:dyDescent="0.4">
      <c r="A30" s="2">
        <f t="shared" si="0"/>
        <v>29</v>
      </c>
      <c r="B30" s="24" t="s">
        <v>170</v>
      </c>
      <c r="C30" s="24" t="s">
        <v>184</v>
      </c>
      <c r="D30" s="24" t="s">
        <v>53</v>
      </c>
      <c r="E30" s="26"/>
      <c r="F30" s="26"/>
      <c r="G30" s="24" t="str">
        <f t="shared" si="1"/>
        <v>基本13</v>
      </c>
      <c r="H30" s="24" t="str">
        <f>テーブル2[[#This Row],[Sheet]]&amp;TEXT(ROW()-1,"00")</f>
        <v>基本29</v>
      </c>
    </row>
    <row r="31" spans="1:8" x14ac:dyDescent="0.4">
      <c r="A31" s="2">
        <f>ROW()-1</f>
        <v>30</v>
      </c>
      <c r="B31" s="24" t="s">
        <v>170</v>
      </c>
      <c r="C31" s="24" t="s">
        <v>184</v>
      </c>
      <c r="D31" s="24" t="s">
        <v>54</v>
      </c>
      <c r="E31" s="26"/>
      <c r="F31" s="26"/>
      <c r="G31" s="24" t="str">
        <f t="shared" si="1"/>
        <v>基本13</v>
      </c>
      <c r="H31" s="24" t="str">
        <f>テーブル2[[#This Row],[Sheet]]&amp;TEXT(ROW()-1,"00")</f>
        <v>基本30</v>
      </c>
    </row>
    <row r="32" spans="1:8" x14ac:dyDescent="0.4">
      <c r="A32" s="82">
        <f t="shared" ref="A32:A64" si="2">ROW()-1</f>
        <v>31</v>
      </c>
      <c r="B32" s="24" t="s">
        <v>58</v>
      </c>
      <c r="C32" s="24" t="str">
        <f>'option-elements'!B65&amp;"_"&amp;'option-elements'!C65</f>
        <v>暖房01_暖房方式</v>
      </c>
      <c r="D32" s="24" t="s">
        <v>65</v>
      </c>
      <c r="E32" s="24" t="s">
        <v>275</v>
      </c>
      <c r="F32" s="24" t="s">
        <v>275</v>
      </c>
      <c r="H32" s="24" t="str">
        <f>テーブル2[[#This Row],[Sheet]]&amp;TEXT(ROW()-31,"00")</f>
        <v>外皮01</v>
      </c>
    </row>
    <row r="33" spans="1:8" x14ac:dyDescent="0.4">
      <c r="A33" s="82">
        <f t="shared" si="2"/>
        <v>32</v>
      </c>
      <c r="B33" s="24" t="s">
        <v>58</v>
      </c>
      <c r="C33" s="24" t="str">
        <f>'option-elements'!B66&amp;"_"&amp;'option-elements'!C66</f>
        <v>_</v>
      </c>
      <c r="D33" s="24" t="s">
        <v>66</v>
      </c>
      <c r="E33" s="24" t="s">
        <v>275</v>
      </c>
      <c r="F33" s="24" t="s">
        <v>276</v>
      </c>
      <c r="H33" s="24" t="str">
        <f>テーブル2[[#This Row],[Sheet]]&amp;TEXT(ROW()-31,"00")</f>
        <v>外皮02</v>
      </c>
    </row>
    <row r="34" spans="1:8" x14ac:dyDescent="0.4">
      <c r="A34" s="82">
        <f t="shared" si="2"/>
        <v>33</v>
      </c>
      <c r="B34" s="24" t="s">
        <v>58</v>
      </c>
      <c r="C34" s="24" t="str">
        <f>'option-elements'!B67&amp;"_"&amp;'option-elements'!C67</f>
        <v>_</v>
      </c>
      <c r="D34" s="24" t="s">
        <v>67</v>
      </c>
      <c r="E34" s="24" t="s">
        <v>275</v>
      </c>
      <c r="F34" s="24" t="s">
        <v>276</v>
      </c>
      <c r="H34" s="24" t="str">
        <f>テーブル2[[#This Row],[Sheet]]&amp;TEXT(ROW()-31,"00")</f>
        <v>外皮03</v>
      </c>
    </row>
    <row r="35" spans="1:8" x14ac:dyDescent="0.4">
      <c r="A35" s="82">
        <f t="shared" si="2"/>
        <v>34</v>
      </c>
      <c r="B35" s="24" t="s">
        <v>58</v>
      </c>
      <c r="C35" s="24" t="str">
        <f>'option-elements'!B68&amp;"_"&amp;'option-elements'!C68</f>
        <v>暖房02_暖房設備機器または放熱器の種類_主たる居室</v>
      </c>
      <c r="D35" s="24" t="s">
        <v>68</v>
      </c>
      <c r="E35" s="24" t="s">
        <v>275</v>
      </c>
      <c r="F35" s="24" t="s">
        <v>280</v>
      </c>
      <c r="H35" s="24" t="str">
        <f>テーブル2[[#This Row],[Sheet]]&amp;TEXT(ROW()-31,"00")</f>
        <v>外皮04</v>
      </c>
    </row>
    <row r="36" spans="1:8" x14ac:dyDescent="0.4">
      <c r="A36" s="82">
        <f t="shared" si="2"/>
        <v>35</v>
      </c>
      <c r="B36" s="24" t="s">
        <v>58</v>
      </c>
      <c r="C36" s="24" t="str">
        <f>'option-elements'!B69&amp;"_"&amp;'option-elements'!C69</f>
        <v>_</v>
      </c>
      <c r="D36" s="87" t="s">
        <v>285</v>
      </c>
      <c r="F36" s="26"/>
      <c r="H36" s="24" t="str">
        <f>テーブル2[[#This Row],[Sheet]]&amp;TEXT(ROW()-31,"00")</f>
        <v>外皮05</v>
      </c>
    </row>
    <row r="37" spans="1:8" x14ac:dyDescent="0.4">
      <c r="A37" s="82">
        <f t="shared" si="2"/>
        <v>36</v>
      </c>
      <c r="B37" s="24" t="s">
        <v>58</v>
      </c>
      <c r="C37" s="24" t="str">
        <f>'option-elements'!B70&amp;"_"&amp;'option-elements'!C70</f>
        <v>_</v>
      </c>
      <c r="D37" s="87" t="s">
        <v>283</v>
      </c>
      <c r="F37" s="26"/>
      <c r="H37" s="24" t="str">
        <f>テーブル2[[#This Row],[Sheet]]&amp;TEXT(ROW()-31,"00")</f>
        <v>外皮06</v>
      </c>
    </row>
    <row r="38" spans="1:8" x14ac:dyDescent="0.4">
      <c r="A38" s="82">
        <f t="shared" si="2"/>
        <v>37</v>
      </c>
      <c r="B38" s="24" t="s">
        <v>58</v>
      </c>
      <c r="C38" s="24" t="str">
        <f>'option-elements'!B71&amp;"_"&amp;'option-elements'!C71</f>
        <v>_</v>
      </c>
      <c r="D38" s="87" t="s">
        <v>281</v>
      </c>
      <c r="F38" s="26"/>
      <c r="H38" s="24" t="str">
        <f>テーブル2[[#This Row],[Sheet]]&amp;TEXT(ROW()-31,"00")</f>
        <v>外皮07</v>
      </c>
    </row>
    <row r="39" spans="1:8" x14ac:dyDescent="0.4">
      <c r="A39" s="82">
        <f t="shared" si="2"/>
        <v>38</v>
      </c>
      <c r="B39" s="24" t="s">
        <v>58</v>
      </c>
      <c r="C39" s="24" t="str">
        <f>'option-elements'!B72&amp;"_"&amp;'option-elements'!C72</f>
        <v>_</v>
      </c>
      <c r="D39" s="87" t="s">
        <v>287</v>
      </c>
      <c r="F39" s="26"/>
      <c r="H39" s="24" t="str">
        <f>テーブル2[[#This Row],[Sheet]]&amp;TEXT(ROW()-31,"00")</f>
        <v>外皮08</v>
      </c>
    </row>
    <row r="40" spans="1:8" x14ac:dyDescent="0.4">
      <c r="A40" s="82">
        <f t="shared" si="2"/>
        <v>39</v>
      </c>
      <c r="B40" s="24" t="s">
        <v>58</v>
      </c>
      <c r="C40" s="24" t="str">
        <f>'option-elements'!B73&amp;"_"&amp;'option-elements'!C73</f>
        <v>_</v>
      </c>
      <c r="D40" s="87" t="s">
        <v>289</v>
      </c>
      <c r="F40" s="26"/>
      <c r="H40" s="24" t="str">
        <f>テーブル2[[#This Row],[Sheet]]&amp;TEXT(ROW()-31,"00")</f>
        <v>外皮09</v>
      </c>
    </row>
    <row r="41" spans="1:8" x14ac:dyDescent="0.4">
      <c r="A41" s="82">
        <f t="shared" si="2"/>
        <v>40</v>
      </c>
      <c r="B41" s="24" t="s">
        <v>58</v>
      </c>
      <c r="C41" s="24" t="str">
        <f>'option-elements'!B74&amp;"_"&amp;'option-elements'!C74</f>
        <v>_</v>
      </c>
      <c r="D41" s="87" t="s">
        <v>291</v>
      </c>
      <c r="F41" s="26"/>
      <c r="H41" s="24" t="str">
        <f>テーブル2[[#This Row],[Sheet]]&amp;TEXT(ROW()-31,"00")</f>
        <v>外皮10</v>
      </c>
    </row>
    <row r="42" spans="1:8" x14ac:dyDescent="0.4">
      <c r="A42" s="82">
        <f t="shared" si="2"/>
        <v>41</v>
      </c>
      <c r="B42" s="24" t="s">
        <v>58</v>
      </c>
      <c r="C42" s="24" t="str">
        <f>'option-elements'!B75&amp;"_"&amp;'option-elements'!C75</f>
        <v>_</v>
      </c>
      <c r="D42" s="87" t="s">
        <v>278</v>
      </c>
      <c r="F42" s="26"/>
      <c r="H42" s="24" t="str">
        <f>テーブル2[[#This Row],[Sheet]]&amp;TEXT(ROW()-31,"00")</f>
        <v>外皮11</v>
      </c>
    </row>
    <row r="43" spans="1:8" x14ac:dyDescent="0.4">
      <c r="A43" s="82">
        <f t="shared" si="2"/>
        <v>42</v>
      </c>
      <c r="B43" s="24" t="s">
        <v>58</v>
      </c>
      <c r="C43" s="24" t="str">
        <f>'option-elements'!B76&amp;"_"&amp;'option-elements'!C76</f>
        <v>_</v>
      </c>
      <c r="D43" s="24" t="s">
        <v>72</v>
      </c>
      <c r="F43" s="26"/>
      <c r="H43" s="24" t="str">
        <f>テーブル2[[#This Row],[Sheet]]&amp;TEXT(ROW()-31,"00")</f>
        <v>外皮12</v>
      </c>
    </row>
    <row r="44" spans="1:8" x14ac:dyDescent="0.4">
      <c r="A44" s="82">
        <f t="shared" si="2"/>
        <v>43</v>
      </c>
      <c r="B44" s="24" t="s">
        <v>58</v>
      </c>
      <c r="C44" s="24" t="str">
        <f>'option-elements'!B77&amp;"_"&amp;'option-elements'!C77</f>
        <v>_</v>
      </c>
      <c r="D44" s="24" t="s">
        <v>351</v>
      </c>
      <c r="F44" s="26"/>
      <c r="H44" s="24" t="str">
        <f>テーブル2[[#This Row],[Sheet]]&amp;TEXT(ROW()-31,"00")</f>
        <v>外皮13</v>
      </c>
    </row>
    <row r="45" spans="1:8" x14ac:dyDescent="0.4">
      <c r="A45" s="82">
        <f t="shared" si="2"/>
        <v>44</v>
      </c>
      <c r="B45" s="24" t="s">
        <v>58</v>
      </c>
      <c r="C45" s="24" t="str">
        <f>'option-elements'!B78&amp;"_"&amp;'option-elements'!C78</f>
        <v>_</v>
      </c>
      <c r="D45" s="24" t="s">
        <v>353</v>
      </c>
      <c r="F45" s="26"/>
      <c r="H45" s="24" t="str">
        <f>テーブル2[[#This Row],[Sheet]]&amp;TEXT(ROW()-31,"00")</f>
        <v>外皮14</v>
      </c>
    </row>
    <row r="46" spans="1:8" x14ac:dyDescent="0.4">
      <c r="A46" s="82">
        <f t="shared" si="2"/>
        <v>45</v>
      </c>
      <c r="B46" s="24" t="s">
        <v>58</v>
      </c>
      <c r="C46" s="24" t="str">
        <f>'option-elements'!B79&amp;"_"&amp;'option-elements'!C79</f>
        <v>_</v>
      </c>
      <c r="D46" s="24" t="s">
        <v>72</v>
      </c>
      <c r="F46" s="26"/>
      <c r="H46" s="24" t="str">
        <f>テーブル2[[#This Row],[Sheet]]&amp;TEXT(ROW()-31,"00")</f>
        <v>外皮15</v>
      </c>
    </row>
    <row r="47" spans="1:8" x14ac:dyDescent="0.4">
      <c r="A47" s="82">
        <f t="shared" si="2"/>
        <v>46</v>
      </c>
      <c r="B47" s="24" t="s">
        <v>58</v>
      </c>
      <c r="C47" s="24" t="str">
        <f>'option-elements'!B80&amp;"_"&amp;'option-elements'!C80</f>
        <v>暖房02_エネルギー消費効率の入力_主たる居室</v>
      </c>
      <c r="D47" s="24" t="s">
        <v>351</v>
      </c>
      <c r="F47" s="26"/>
      <c r="H47" s="24" t="str">
        <f>テーブル2[[#This Row],[Sheet]]&amp;TEXT(ROW()-31,"00")</f>
        <v>外皮16</v>
      </c>
    </row>
    <row r="48" spans="1:8" x14ac:dyDescent="0.4">
      <c r="A48" s="82">
        <f t="shared" si="2"/>
        <v>47</v>
      </c>
      <c r="B48" s="24" t="s">
        <v>58</v>
      </c>
      <c r="C48" s="24" t="str">
        <f>'option-elements'!B81&amp;"_"&amp;'option-elements'!C81</f>
        <v>_</v>
      </c>
      <c r="D48" s="24" t="s">
        <v>353</v>
      </c>
      <c r="F48" s="26"/>
      <c r="H48" s="24" t="str">
        <f>テーブル2[[#This Row],[Sheet]]&amp;TEXT(ROW()-31,"00")</f>
        <v>外皮17</v>
      </c>
    </row>
    <row r="49" spans="1:8" x14ac:dyDescent="0.4">
      <c r="A49" s="82">
        <f t="shared" si="2"/>
        <v>48</v>
      </c>
      <c r="B49" s="24" t="s">
        <v>58</v>
      </c>
      <c r="C49" s="24" t="str">
        <f>'option-elements'!B82&amp;"_"&amp;'option-elements'!C82</f>
        <v>暖房02_定格能力におけるエネルギー消費効率_主たる居室</v>
      </c>
      <c r="D49" s="24" t="s">
        <v>72</v>
      </c>
      <c r="F49" s="26"/>
      <c r="H49" s="24" t="str">
        <f>テーブル2[[#This Row],[Sheet]]&amp;TEXT(ROW()-31,"00")</f>
        <v>外皮18</v>
      </c>
    </row>
    <row r="50" spans="1:8" x14ac:dyDescent="0.4">
      <c r="A50" s="82">
        <f t="shared" si="2"/>
        <v>49</v>
      </c>
      <c r="B50" s="24" t="s">
        <v>58</v>
      </c>
      <c r="C50" s="24" t="str">
        <f>'option-elements'!B83&amp;"_"&amp;'option-elements'!C83</f>
        <v>暖房02_エネルギー消費効率の区分_主たる居室</v>
      </c>
      <c r="D50" s="24" t="s">
        <v>272</v>
      </c>
      <c r="F50" s="26"/>
      <c r="H50" s="24" t="str">
        <f>テーブル2[[#This Row],[Sheet]]&amp;TEXT(ROW()-31,"00")</f>
        <v>外皮19</v>
      </c>
    </row>
    <row r="51" spans="1:8" x14ac:dyDescent="0.4">
      <c r="A51" s="82">
        <f t="shared" si="2"/>
        <v>50</v>
      </c>
      <c r="B51" s="24" t="s">
        <v>58</v>
      </c>
      <c r="C51" s="24" t="str">
        <f>'option-elements'!B84&amp;"_"&amp;'option-elements'!C84</f>
        <v>_</v>
      </c>
      <c r="D51" s="24" t="s">
        <v>72</v>
      </c>
      <c r="E51" s="24" t="s">
        <v>293</v>
      </c>
      <c r="H51" s="24" t="str">
        <f>テーブル2[[#This Row],[Sheet]]&amp;TEXT(ROW()-31,"00")</f>
        <v>外皮20</v>
      </c>
    </row>
    <row r="52" spans="1:8" x14ac:dyDescent="0.4">
      <c r="A52" s="82">
        <f t="shared" si="2"/>
        <v>51</v>
      </c>
      <c r="B52" s="24" t="s">
        <v>58</v>
      </c>
      <c r="C52" s="24" t="str">
        <f>'option-elements'!B85&amp;"_"&amp;'option-elements'!C85</f>
        <v>_</v>
      </c>
      <c r="D52" s="24" t="s">
        <v>75</v>
      </c>
      <c r="E52" s="24" t="s">
        <v>293</v>
      </c>
      <c r="F52" s="24" t="s">
        <v>293</v>
      </c>
      <c r="H52" s="24" t="str">
        <f>テーブル2[[#This Row],[Sheet]]&amp;TEXT(ROW()-31,"00")</f>
        <v>外皮21</v>
      </c>
    </row>
    <row r="53" spans="1:8" x14ac:dyDescent="0.4">
      <c r="A53" s="82">
        <f t="shared" si="2"/>
        <v>52</v>
      </c>
      <c r="B53" s="24" t="s">
        <v>58</v>
      </c>
      <c r="C53" s="24" t="str">
        <f>'option-elements'!B86&amp;"_"&amp;'option-elements'!C86</f>
        <v>暖房02_小能力時高効率型コンプレッサー_主たる居室</v>
      </c>
      <c r="D53" s="24">
        <v>10</v>
      </c>
      <c r="F53" s="26"/>
      <c r="H53" s="24" t="str">
        <f>テーブル2[[#This Row],[Sheet]]&amp;TEXT(ROW()-31,"00")</f>
        <v>外皮22</v>
      </c>
    </row>
    <row r="54" spans="1:8" x14ac:dyDescent="0.4">
      <c r="A54" s="82">
        <f t="shared" si="2"/>
        <v>53</v>
      </c>
      <c r="B54" s="24" t="s">
        <v>58</v>
      </c>
      <c r="C54" s="24" t="str">
        <f>'option-elements'!B87&amp;"_"&amp;'option-elements'!C87</f>
        <v>_</v>
      </c>
      <c r="D54" s="24">
        <v>20</v>
      </c>
      <c r="F54" s="26"/>
      <c r="H54" s="24" t="str">
        <f>テーブル2[[#This Row],[Sheet]]&amp;TEXT(ROW()-31,"00")</f>
        <v>外皮23</v>
      </c>
    </row>
    <row r="55" spans="1:8" x14ac:dyDescent="0.4">
      <c r="A55" s="82">
        <f t="shared" si="2"/>
        <v>54</v>
      </c>
      <c r="B55" s="24" t="s">
        <v>58</v>
      </c>
      <c r="C55" s="24" t="str">
        <f>'option-elements'!B88&amp;"_"&amp;'option-elements'!C88</f>
        <v>暖房02_敷設率の入力_主たる居室</v>
      </c>
      <c r="D55" s="24">
        <v>30</v>
      </c>
      <c r="F55" s="26"/>
      <c r="H55" s="24" t="str">
        <f>テーブル2[[#This Row],[Sheet]]&amp;TEXT(ROW()-31,"00")</f>
        <v>外皮24</v>
      </c>
    </row>
    <row r="56" spans="1:8" x14ac:dyDescent="0.4">
      <c r="A56" s="82">
        <f t="shared" si="2"/>
        <v>55</v>
      </c>
      <c r="B56" s="24" t="s">
        <v>58</v>
      </c>
      <c r="C56" s="24" t="str">
        <f>'option-elements'!B89&amp;"_"&amp;'option-elements'!C89</f>
        <v>_</v>
      </c>
      <c r="D56" s="24">
        <v>40</v>
      </c>
      <c r="F56" s="26"/>
      <c r="H56" s="24" t="str">
        <f>テーブル2[[#This Row],[Sheet]]&amp;TEXT(ROW()-31,"00")</f>
        <v>外皮25</v>
      </c>
    </row>
    <row r="57" spans="1:8" x14ac:dyDescent="0.4">
      <c r="A57" s="82">
        <f t="shared" si="2"/>
        <v>56</v>
      </c>
      <c r="B57" s="24" t="s">
        <v>58</v>
      </c>
      <c r="C57" s="24" t="str">
        <f>'option-elements'!B90&amp;"_"&amp;'option-elements'!C90</f>
        <v>暖房02_敷設率_主たる居室</v>
      </c>
      <c r="D57" s="24">
        <v>50</v>
      </c>
      <c r="F57" s="26"/>
      <c r="H57" s="24" t="str">
        <f>テーブル2[[#This Row],[Sheet]]&amp;TEXT(ROW()-31,"00")</f>
        <v>外皮26</v>
      </c>
    </row>
    <row r="58" spans="1:8" x14ac:dyDescent="0.4">
      <c r="A58" s="82">
        <f t="shared" si="2"/>
        <v>57</v>
      </c>
      <c r="B58" s="24" t="s">
        <v>58</v>
      </c>
      <c r="C58" s="24" t="str">
        <f>'option-elements'!B91&amp;"_"&amp;'option-elements'!C91</f>
        <v>暖房02_仮想床の床面積を除いた敷設率の入力_主たる居室</v>
      </c>
      <c r="D58" s="24">
        <v>60</v>
      </c>
      <c r="F58" s="26"/>
      <c r="H58" s="24" t="str">
        <f>テーブル2[[#This Row],[Sheet]]&amp;TEXT(ROW()-31,"00")</f>
        <v>外皮27</v>
      </c>
    </row>
    <row r="59" spans="1:8" x14ac:dyDescent="0.4">
      <c r="A59" s="82">
        <f t="shared" si="2"/>
        <v>58</v>
      </c>
      <c r="B59" s="24" t="s">
        <v>58</v>
      </c>
      <c r="C59" s="24" t="str">
        <f>'option-elements'!B92&amp;"_"&amp;'option-elements'!C92</f>
        <v>_</v>
      </c>
      <c r="D59" s="24">
        <v>70</v>
      </c>
      <c r="F59" s="26"/>
      <c r="H59" s="24" t="str">
        <f>テーブル2[[#This Row],[Sheet]]&amp;TEXT(ROW()-31,"00")</f>
        <v>外皮28</v>
      </c>
    </row>
    <row r="60" spans="1:8" x14ac:dyDescent="0.4">
      <c r="A60" s="82">
        <f t="shared" si="2"/>
        <v>59</v>
      </c>
      <c r="B60" s="24" t="s">
        <v>58</v>
      </c>
      <c r="C60" s="24" t="str">
        <f>'option-elements'!B93&amp;"_"&amp;'option-elements'!C93</f>
        <v>暖房02_仮想床の床面積を除いた敷設率_主たる居室</v>
      </c>
      <c r="D60" s="24">
        <v>80</v>
      </c>
      <c r="F60" s="26"/>
      <c r="H60" s="24" t="str">
        <f>テーブル2[[#This Row],[Sheet]]&amp;TEXT(ROW()-31,"00")</f>
        <v>外皮29</v>
      </c>
    </row>
    <row r="61" spans="1:8" x14ac:dyDescent="0.4">
      <c r="A61" s="82">
        <f t="shared" si="2"/>
        <v>60</v>
      </c>
      <c r="B61" s="24" t="s">
        <v>58</v>
      </c>
      <c r="C61" s="24" t="str">
        <f>'option-elements'!B94&amp;"_"&amp;'option-elements'!C94</f>
        <v>_</v>
      </c>
      <c r="D61" s="24">
        <v>90</v>
      </c>
      <c r="F61" s="26"/>
      <c r="H61" s="24" t="str">
        <f>テーブル2[[#This Row],[Sheet]]&amp;TEXT(ROW()-31,"00")</f>
        <v>外皮30</v>
      </c>
    </row>
    <row r="62" spans="1:8" x14ac:dyDescent="0.4">
      <c r="A62" s="82">
        <f t="shared" si="2"/>
        <v>61</v>
      </c>
      <c r="B62" s="24" t="s">
        <v>58</v>
      </c>
      <c r="C62" s="24" t="str">
        <f>'option-elements'!B95&amp;"_"&amp;'option-elements'!C95</f>
        <v>_</v>
      </c>
      <c r="D62" s="24">
        <v>100</v>
      </c>
      <c r="F62" s="26"/>
      <c r="H62" s="24" t="str">
        <f>テーブル2[[#This Row],[Sheet]]&amp;TEXT(ROW()-31,"00")</f>
        <v>外皮31</v>
      </c>
    </row>
    <row r="63" spans="1:8" x14ac:dyDescent="0.4">
      <c r="A63" s="82">
        <f t="shared" si="2"/>
        <v>62</v>
      </c>
      <c r="B63" s="24" t="s">
        <v>58</v>
      </c>
      <c r="C63" s="24" t="str">
        <f>'option-elements'!B96&amp;"_"&amp;'option-elements'!C96</f>
        <v>_</v>
      </c>
      <c r="D63" s="24" t="s">
        <v>80</v>
      </c>
      <c r="F63" s="26"/>
      <c r="H63" s="24" t="str">
        <f>テーブル2[[#This Row],[Sheet]]&amp;TEXT(ROW()-31,"00")</f>
        <v>外皮32</v>
      </c>
    </row>
    <row r="64" spans="1:8" x14ac:dyDescent="0.4">
      <c r="A64" s="82">
        <f t="shared" si="2"/>
        <v>63</v>
      </c>
      <c r="B64" s="24" t="s">
        <v>58</v>
      </c>
      <c r="C64" s="24" t="str">
        <f>'option-elements'!B97&amp;"_"&amp;'option-elements'!C97</f>
        <v>_</v>
      </c>
      <c r="D64" s="24" t="s">
        <v>81</v>
      </c>
      <c r="F64" s="26"/>
      <c r="H64" s="24" t="str">
        <f>テーブル2[[#This Row],[Sheet]]&amp;TEXT(ROW()-31,"00")</f>
        <v>外皮33</v>
      </c>
    </row>
    <row r="65" spans="1:8" x14ac:dyDescent="0.4">
      <c r="A65" s="2">
        <f>ROW()-1</f>
        <v>64</v>
      </c>
      <c r="B65" s="24" t="s">
        <v>227</v>
      </c>
      <c r="C65" s="24" t="str">
        <f>'option-elements'!B98&amp;"_"&amp;'option-elements'!C98</f>
        <v>_</v>
      </c>
      <c r="D65" s="24" t="str">
        <f>'option-elements'!D65</f>
        <v>居室のみを暖房する</v>
      </c>
      <c r="E65" s="24" t="s">
        <v>464</v>
      </c>
      <c r="F65" s="26" t="s">
        <v>463</v>
      </c>
      <c r="H65" s="84" t="str">
        <f>テーブル2[[#This Row],[Sheet]]&amp;TEXT(ROW()-64,"00")</f>
        <v>暖房01</v>
      </c>
    </row>
    <row r="66" spans="1:8" x14ac:dyDescent="0.4">
      <c r="A66" s="2">
        <f t="shared" ref="A66:A93" si="3">ROW()-1</f>
        <v>65</v>
      </c>
      <c r="B66" s="24" t="s">
        <v>227</v>
      </c>
      <c r="C66" s="24" t="str">
        <f>'option-elements'!B99&amp;"_"&amp;'option-elements'!C99</f>
        <v>_</v>
      </c>
      <c r="D66" s="24" t="str">
        <f>'option-elements'!D66</f>
        <v>住戸全体を暖房する</v>
      </c>
      <c r="E66" s="24" t="s">
        <v>465</v>
      </c>
      <c r="F66" s="26" t="s">
        <v>466</v>
      </c>
      <c r="H66" s="84" t="str">
        <f>テーブル2[[#This Row],[Sheet]]&amp;TEXT(ROW()-64,"00")</f>
        <v>暖房02</v>
      </c>
    </row>
    <row r="67" spans="1:8" x14ac:dyDescent="0.4">
      <c r="A67" s="2">
        <f t="shared" si="3"/>
        <v>66</v>
      </c>
      <c r="B67" s="24" t="s">
        <v>227</v>
      </c>
      <c r="C67" s="24" t="str">
        <f>'option-elements'!B100&amp;"_"&amp;'option-elements'!C100</f>
        <v>_</v>
      </c>
      <c r="D67" s="24" t="str">
        <f>'option-elements'!D67</f>
        <v>設置しない</v>
      </c>
      <c r="E67" s="24" t="s">
        <v>465</v>
      </c>
      <c r="F67" s="26"/>
      <c r="H67" s="84" t="str">
        <f>テーブル2[[#This Row],[Sheet]]&amp;TEXT(ROW()-64,"00")</f>
        <v>暖房03</v>
      </c>
    </row>
    <row r="68" spans="1:8" x14ac:dyDescent="0.4">
      <c r="A68" s="2">
        <f t="shared" si="3"/>
        <v>67</v>
      </c>
      <c r="B68" s="24" t="s">
        <v>227</v>
      </c>
      <c r="C68" s="24" t="str">
        <f>'option-elements'!B101&amp;"_"&amp;'option-elements'!C101</f>
        <v>_</v>
      </c>
      <c r="D68" s="24" t="str">
        <f>'option-elements'!D68</f>
        <v>ルームエアコンディショナー</v>
      </c>
      <c r="F68" s="26"/>
      <c r="H68" s="84" t="str">
        <f>テーブル2[[#This Row],[Sheet]]&amp;TEXT(ROW()-64,"00")</f>
        <v>暖房04</v>
      </c>
    </row>
    <row r="69" spans="1:8" x14ac:dyDescent="0.4">
      <c r="A69" s="2">
        <f t="shared" si="3"/>
        <v>68</v>
      </c>
      <c r="B69" s="24" t="s">
        <v>227</v>
      </c>
      <c r="C69" s="24" t="str">
        <f>'option-elements'!B102&amp;"_"&amp;'option-elements'!C102</f>
        <v>_</v>
      </c>
      <c r="D69" s="24" t="str">
        <f>'option-elements'!D69</f>
        <v>FF暖房機</v>
      </c>
      <c r="F69" s="26"/>
      <c r="H69" s="84" t="str">
        <f>テーブル2[[#This Row],[Sheet]]&amp;TEXT(ROW()-64,"00")</f>
        <v>暖房05</v>
      </c>
    </row>
    <row r="70" spans="1:8" x14ac:dyDescent="0.4">
      <c r="A70" s="2">
        <f t="shared" si="3"/>
        <v>69</v>
      </c>
      <c r="B70" s="24" t="s">
        <v>227</v>
      </c>
      <c r="C70" s="24" t="str">
        <f>'option-elements'!B103&amp;"_"&amp;'option-elements'!C103</f>
        <v>暖房02_上面放熱率_床の断熱_主たる居室</v>
      </c>
      <c r="D70" s="24" t="str">
        <f>'option-elements'!D70</f>
        <v>電気蓄熱暖房器</v>
      </c>
      <c r="F70" s="26"/>
      <c r="H70" s="84" t="str">
        <f>テーブル2[[#This Row],[Sheet]]&amp;TEXT(ROW()-64,"00")</f>
        <v>暖房06</v>
      </c>
    </row>
    <row r="71" spans="1:8" x14ac:dyDescent="0.4">
      <c r="A71" s="2">
        <f t="shared" si="3"/>
        <v>70</v>
      </c>
      <c r="B71" s="24" t="s">
        <v>227</v>
      </c>
      <c r="C71" s="24" t="str">
        <f>'option-elements'!B104&amp;"_"&amp;'option-elements'!C104</f>
        <v>_</v>
      </c>
      <c r="D71" s="24" t="str">
        <f>'option-elements'!D71</f>
        <v>電気ヒーター床暖房</v>
      </c>
      <c r="F71" s="26"/>
      <c r="H71" s="84" t="str">
        <f>テーブル2[[#This Row],[Sheet]]&amp;TEXT(ROW()-64,"00")</f>
        <v>暖房07</v>
      </c>
    </row>
    <row r="72" spans="1:8" x14ac:dyDescent="0.4">
      <c r="A72" s="2">
        <f t="shared" si="3"/>
        <v>71</v>
      </c>
      <c r="B72" s="24" t="s">
        <v>227</v>
      </c>
      <c r="C72" s="24" t="str">
        <f>'option-elements'!B105&amp;"_"&amp;'option-elements'!C105</f>
        <v>_</v>
      </c>
      <c r="D72" s="24" t="str">
        <f>'option-elements'!D72</f>
        <v>ルームエアコンディショナー付温水床暖房機</v>
      </c>
      <c r="F72" s="26"/>
      <c r="H72" s="84" t="str">
        <f>テーブル2[[#This Row],[Sheet]]&amp;TEXT(ROW()-64,"00")</f>
        <v>暖房08</v>
      </c>
    </row>
    <row r="73" spans="1:8" x14ac:dyDescent="0.4">
      <c r="A73" s="2">
        <f t="shared" si="3"/>
        <v>72</v>
      </c>
      <c r="B73" s="24" t="s">
        <v>227</v>
      </c>
      <c r="C73" s="24" t="str">
        <f>'option-elements'!B106&amp;"_"&amp;'option-elements'!C106</f>
        <v>_</v>
      </c>
      <c r="D73" s="24" t="str">
        <f>'option-elements'!D73</f>
        <v>温水床暖房</v>
      </c>
      <c r="F73" s="26"/>
      <c r="H73" s="84" t="str">
        <f>テーブル2[[#This Row],[Sheet]]&amp;TEXT(ROW()-64,"00")</f>
        <v>暖房09</v>
      </c>
    </row>
    <row r="74" spans="1:8" x14ac:dyDescent="0.4">
      <c r="A74" s="2">
        <f t="shared" si="3"/>
        <v>73</v>
      </c>
      <c r="B74" s="24" t="s">
        <v>227</v>
      </c>
      <c r="C74" s="24" t="str">
        <f>'option-elements'!B107&amp;"_"&amp;'option-elements'!C107</f>
        <v>_</v>
      </c>
      <c r="D74" s="24" t="str">
        <f>'option-elements'!D74</f>
        <v>パネルラジエーター</v>
      </c>
      <c r="F74" s="26"/>
      <c r="H74" s="84" t="str">
        <f>テーブル2[[#This Row],[Sheet]]&amp;TEXT(ROW()-64,"00")</f>
        <v>暖房10</v>
      </c>
    </row>
    <row r="75" spans="1:8" x14ac:dyDescent="0.4">
      <c r="A75" s="2">
        <f t="shared" si="3"/>
        <v>74</v>
      </c>
      <c r="B75" s="24" t="s">
        <v>227</v>
      </c>
      <c r="C75" s="24" t="str">
        <f>'option-elements'!B108&amp;"_"&amp;'option-elements'!C108</f>
        <v>_</v>
      </c>
      <c r="D75" s="24" t="str">
        <f>'option-elements'!D75</f>
        <v>ファンコンベクター</v>
      </c>
      <c r="F75" s="26"/>
      <c r="H75" s="84" t="str">
        <f>テーブル2[[#This Row],[Sheet]]&amp;TEXT(ROW()-64,"00")</f>
        <v>暖房11</v>
      </c>
    </row>
    <row r="76" spans="1:8" x14ac:dyDescent="0.4">
      <c r="A76" s="2">
        <f t="shared" si="3"/>
        <v>75</v>
      </c>
      <c r="B76" s="24" t="s">
        <v>227</v>
      </c>
      <c r="C76" s="24" t="str">
        <f>'option-elements'!B109&amp;"_"&amp;'option-elements'!C109</f>
        <v>_</v>
      </c>
      <c r="D76" s="24" t="str">
        <f>'option-elements'!D76</f>
        <v>ペレットストーブ</v>
      </c>
      <c r="F76" s="26"/>
      <c r="H76" s="84" t="str">
        <f>テーブル2[[#This Row],[Sheet]]&amp;TEXT(ROW()-64,"00")</f>
        <v>暖房12</v>
      </c>
    </row>
    <row r="77" spans="1:8" x14ac:dyDescent="0.4">
      <c r="A77" s="2">
        <f t="shared" si="3"/>
        <v>76</v>
      </c>
      <c r="B77" s="24" t="s">
        <v>227</v>
      </c>
      <c r="C77" s="24" t="str">
        <f>'option-elements'!B110&amp;"_"&amp;'option-elements'!C110</f>
        <v>_</v>
      </c>
      <c r="D77" s="24" t="str">
        <f>'option-elements'!D77</f>
        <v>その他の暖房設備機器</v>
      </c>
      <c r="F77" s="26"/>
      <c r="H77" s="84" t="str">
        <f>テーブル2[[#This Row],[Sheet]]&amp;TEXT(ROW()-64,"00")</f>
        <v>暖房13</v>
      </c>
    </row>
    <row r="78" spans="1:8" x14ac:dyDescent="0.4">
      <c r="A78" s="2">
        <f t="shared" si="3"/>
        <v>77</v>
      </c>
      <c r="B78" s="24" t="s">
        <v>227</v>
      </c>
      <c r="C78" s="24" t="str">
        <f>'option-elements'!B111&amp;"_"&amp;'option-elements'!C111</f>
        <v>_</v>
      </c>
      <c r="D78" s="24" t="str">
        <f>'option-elements'!D78</f>
        <v>基準値の算定において想定される機器（増改築部分を対象に評価する場合の基準設定仕様）</v>
      </c>
      <c r="F78" s="26"/>
      <c r="H78" s="84" t="str">
        <f>テーブル2[[#This Row],[Sheet]]&amp;TEXT(ROW()-64,"00")</f>
        <v>暖房14</v>
      </c>
    </row>
    <row r="79" spans="1:8" x14ac:dyDescent="0.4">
      <c r="A79" s="2">
        <f t="shared" si="3"/>
        <v>78</v>
      </c>
      <c r="B79" s="24" t="s">
        <v>227</v>
      </c>
      <c r="C79" s="24" t="str">
        <f>'option-elements'!B112&amp;"_"&amp;'option-elements'!C112</f>
        <v>_</v>
      </c>
      <c r="D79" s="24" t="str">
        <f>'option-elements'!D79</f>
        <v>暖房設備機器または放熱器を設置しない</v>
      </c>
      <c r="F79" s="26"/>
      <c r="H79" s="84" t="str">
        <f>テーブル2[[#This Row],[Sheet]]&amp;TEXT(ROW()-64,"00")</f>
        <v>暖房15</v>
      </c>
    </row>
    <row r="80" spans="1:8" x14ac:dyDescent="0.4">
      <c r="A80" s="2">
        <f t="shared" si="3"/>
        <v>79</v>
      </c>
      <c r="B80" s="24" t="s">
        <v>227</v>
      </c>
      <c r="C80" s="24" t="str">
        <f>'option-elements'!B113&amp;"_"&amp;'option-elements'!C113</f>
        <v>暖房02_低出力モード_主たる居室</v>
      </c>
      <c r="D80" s="24" t="str">
        <f>'option-elements'!D80</f>
        <v>入力しない（規定値を用いる）</v>
      </c>
      <c r="F80" s="26"/>
      <c r="H80" s="84" t="str">
        <f>テーブル2[[#This Row],[Sheet]]&amp;TEXT(ROW()-64,"00")</f>
        <v>暖房16</v>
      </c>
    </row>
    <row r="81" spans="1:8" x14ac:dyDescent="0.4">
      <c r="A81" s="2">
        <f t="shared" si="3"/>
        <v>80</v>
      </c>
      <c r="B81" s="24" t="s">
        <v>227</v>
      </c>
      <c r="C81" s="24" t="str">
        <f>'option-elements'!B114&amp;"_"&amp;'option-elements'!C114</f>
        <v>_</v>
      </c>
      <c r="D81" s="24" t="str">
        <f>'option-elements'!D81</f>
        <v>入力する</v>
      </c>
      <c r="F81" s="26"/>
      <c r="H81" s="84" t="str">
        <f>テーブル2[[#This Row],[Sheet]]&amp;TEXT(ROW()-64,"00")</f>
        <v>暖房17</v>
      </c>
    </row>
    <row r="82" spans="1:8" x14ac:dyDescent="0.4">
      <c r="A82" s="2">
        <f t="shared" si="3"/>
        <v>81</v>
      </c>
      <c r="B82" s="24" t="s">
        <v>227</v>
      </c>
      <c r="C82" s="24" t="str">
        <f>'option-elements'!B115&amp;"_"&amp;'option-elements'!C115</f>
        <v>暖房02_断熱配管_主たる居室</v>
      </c>
      <c r="D82" s="24" t="str">
        <f>'option-elements'!D82</f>
        <v>86.0</v>
      </c>
      <c r="F82" s="26"/>
      <c r="H82" s="84" t="str">
        <f>テーブル2[[#This Row],[Sheet]]&amp;TEXT(ROW()-64,"00")</f>
        <v>暖房18</v>
      </c>
    </row>
    <row r="83" spans="1:8" x14ac:dyDescent="0.4">
      <c r="A83" s="2">
        <f t="shared" si="3"/>
        <v>82</v>
      </c>
      <c r="B83" s="24" t="s">
        <v>227</v>
      </c>
      <c r="C83" s="24" t="str">
        <f>'option-elements'!B116&amp;"_"&amp;'option-elements'!C116</f>
        <v>_</v>
      </c>
      <c r="D83" s="24" t="str">
        <f>'option-elements'!D83</f>
        <v>区分（い）</v>
      </c>
      <c r="F83" s="26"/>
      <c r="H83" s="84" t="str">
        <f>テーブル2[[#This Row],[Sheet]]&amp;TEXT(ROW()-64,"00")</f>
        <v>暖房19</v>
      </c>
    </row>
    <row r="84" spans="1:8" x14ac:dyDescent="0.4">
      <c r="A84" s="2">
        <f t="shared" si="3"/>
        <v>83</v>
      </c>
      <c r="B84" s="24" t="s">
        <v>227</v>
      </c>
      <c r="C84" s="24" t="str">
        <f>'option-elements'!B117&amp;"_"&amp;'option-elements'!C117</f>
        <v>暖房02_熱出力_主たる居室</v>
      </c>
      <c r="D84" s="24" t="str">
        <f>'option-elements'!D84</f>
        <v>区分（ろ）</v>
      </c>
      <c r="F84" s="26"/>
      <c r="H84" s="84" t="str">
        <f>テーブル2[[#This Row],[Sheet]]&amp;TEXT(ROW()-64,"00")</f>
        <v>暖房20</v>
      </c>
    </row>
    <row r="85" spans="1:8" x14ac:dyDescent="0.4">
      <c r="A85" s="2">
        <f t="shared" si="3"/>
        <v>84</v>
      </c>
      <c r="B85" s="24" t="s">
        <v>227</v>
      </c>
      <c r="C85" s="24" t="str">
        <f>'option-elements'!B118&amp;"_"&amp;'option-elements'!C118</f>
        <v>暖房02_熱効率_主たる居室</v>
      </c>
      <c r="D85" s="24" t="str">
        <f>'option-elements'!D85</f>
        <v>区分（は）</v>
      </c>
      <c r="F85" s="26"/>
      <c r="H85" s="84" t="str">
        <f>テーブル2[[#This Row],[Sheet]]&amp;TEXT(ROW()-64,"00")</f>
        <v>暖房21</v>
      </c>
    </row>
    <row r="86" spans="1:8" x14ac:dyDescent="0.4">
      <c r="A86" s="2">
        <f t="shared" si="3"/>
        <v>85</v>
      </c>
      <c r="B86" s="24" t="s">
        <v>227</v>
      </c>
      <c r="C86" s="24" t="str">
        <f>'option-elements'!B119&amp;"_"&amp;'option-elements'!C119</f>
        <v>暖房02_点火時消費電力量_主たる居室</v>
      </c>
      <c r="D86" s="24" t="str">
        <f>'option-elements'!D86</f>
        <v>評価しない、または搭載しない</v>
      </c>
      <c r="F86" s="26"/>
      <c r="H86" s="84" t="str">
        <f>テーブル2[[#This Row],[Sheet]]&amp;TEXT(ROW()-64,"00")</f>
        <v>暖房22</v>
      </c>
    </row>
    <row r="87" spans="1:8" x14ac:dyDescent="0.4">
      <c r="A87" s="2">
        <f t="shared" si="3"/>
        <v>86</v>
      </c>
      <c r="B87" s="24" t="s">
        <v>227</v>
      </c>
      <c r="C87" s="24" t="str">
        <f>'option-elements'!B120&amp;"_"&amp;'option-elements'!C120</f>
        <v>暖房02_定常時消費電力_主たる居室</v>
      </c>
      <c r="D87" s="24" t="str">
        <f>'option-elements'!D87</f>
        <v>搭載する</v>
      </c>
      <c r="F87" s="26"/>
      <c r="H87" s="84" t="str">
        <f>テーブル2[[#This Row],[Sheet]]&amp;TEXT(ROW()-64,"00")</f>
        <v>暖房23</v>
      </c>
    </row>
    <row r="88" spans="1:8" x14ac:dyDescent="0.4">
      <c r="A88" s="2">
        <f t="shared" si="3"/>
        <v>87</v>
      </c>
      <c r="B88" s="24" t="s">
        <v>227</v>
      </c>
      <c r="C88" s="24" t="str">
        <f>'option-elements'!B121&amp;"_"&amp;'option-elements'!C121</f>
        <v>暖房02_その他の暖房設備機器の名称_主たる居室</v>
      </c>
      <c r="D88" s="24" t="str">
        <f>'option-elements'!D88</f>
        <v>入力しない（規定値を用いる）</v>
      </c>
      <c r="F88" s="26"/>
      <c r="H88" s="84" t="str">
        <f>テーブル2[[#This Row],[Sheet]]&amp;TEXT(ROW()-64,"00")</f>
        <v>暖房24</v>
      </c>
    </row>
    <row r="89" spans="1:8" x14ac:dyDescent="0.4">
      <c r="A89" s="2">
        <f t="shared" si="3"/>
        <v>88</v>
      </c>
      <c r="B89" s="24" t="s">
        <v>227</v>
      </c>
      <c r="C89" s="24" t="str">
        <f>'option-elements'!B122&amp;"_"&amp;'option-elements'!C122</f>
        <v>暖房03_暖房設備機器または放熱器の種類_その他の居室</v>
      </c>
      <c r="D89" s="24" t="str">
        <f>'option-elements'!D89</f>
        <v>入力する</v>
      </c>
      <c r="F89" s="26"/>
      <c r="H89" s="84" t="str">
        <f>テーブル2[[#This Row],[Sheet]]&amp;TEXT(ROW()-64,"00")</f>
        <v>暖房25</v>
      </c>
    </row>
    <row r="90" spans="1:8" x14ac:dyDescent="0.4">
      <c r="A90" s="2">
        <f t="shared" si="3"/>
        <v>89</v>
      </c>
      <c r="B90" s="24" t="s">
        <v>227</v>
      </c>
      <c r="C90" s="24" t="str">
        <f>'option-elements'!B123&amp;"_"&amp;'option-elements'!C123</f>
        <v>_</v>
      </c>
      <c r="D90" s="24" t="str">
        <f>'option-elements'!D90</f>
        <v>40.0</v>
      </c>
      <c r="F90" s="26"/>
      <c r="H90" s="84" t="str">
        <f>テーブル2[[#This Row],[Sheet]]&amp;TEXT(ROW()-64,"00")</f>
        <v>暖房26</v>
      </c>
    </row>
    <row r="91" spans="1:8" x14ac:dyDescent="0.4">
      <c r="A91" s="2">
        <f t="shared" si="3"/>
        <v>90</v>
      </c>
      <c r="B91" s="24" t="s">
        <v>227</v>
      </c>
      <c r="C91" s="24" t="str">
        <f>'option-elements'!B124&amp;"_"&amp;'option-elements'!C124</f>
        <v>_</v>
      </c>
      <c r="D91" s="24" t="str">
        <f>'option-elements'!D91</f>
        <v>入力しない（規定値を用いる）</v>
      </c>
      <c r="F91" s="26"/>
      <c r="H91" s="84" t="str">
        <f>テーブル2[[#This Row],[Sheet]]&amp;TEXT(ROW()-64,"00")</f>
        <v>暖房27</v>
      </c>
    </row>
    <row r="92" spans="1:8" x14ac:dyDescent="0.4">
      <c r="A92" s="2">
        <f t="shared" si="3"/>
        <v>91</v>
      </c>
      <c r="B92" s="24" t="s">
        <v>227</v>
      </c>
      <c r="C92" s="24" t="str">
        <f>'option-elements'!B125&amp;"_"&amp;'option-elements'!C125</f>
        <v>_</v>
      </c>
      <c r="D92" s="24" t="str">
        <f>'option-elements'!D92</f>
        <v>入力する</v>
      </c>
      <c r="F92" s="26"/>
      <c r="H92" s="84" t="str">
        <f>テーブル2[[#This Row],[Sheet]]&amp;TEXT(ROW()-64,"00")</f>
        <v>暖房28</v>
      </c>
    </row>
    <row r="93" spans="1:8" x14ac:dyDescent="0.4">
      <c r="A93" s="2">
        <f t="shared" si="3"/>
        <v>92</v>
      </c>
      <c r="B93" s="24" t="s">
        <v>227</v>
      </c>
      <c r="C93" s="24" t="str">
        <f>'option-elements'!B126&amp;"_"&amp;'option-elements'!C126</f>
        <v>_</v>
      </c>
      <c r="D93" s="24" t="str">
        <f>'option-elements'!D93</f>
        <v>10.0</v>
      </c>
      <c r="F93" s="26"/>
      <c r="H93" s="84" t="str">
        <f>テーブル2[[#This Row],[Sheet]]&amp;TEXT(ROW()-64,"00")</f>
        <v>暖房29</v>
      </c>
    </row>
    <row r="94" spans="1:8" x14ac:dyDescent="0.4">
      <c r="A94" s="2">
        <f t="shared" ref="A94:A116" si="4">ROW()-1</f>
        <v>93</v>
      </c>
      <c r="B94" s="24" t="s">
        <v>227</v>
      </c>
      <c r="C94" s="24" t="str">
        <f>'option-elements'!B127&amp;"_"&amp;'option-elements'!C127</f>
        <v>_</v>
      </c>
      <c r="D94" s="24" t="str">
        <f>'option-elements'!D94</f>
        <v>20.0</v>
      </c>
      <c r="F94" s="26"/>
      <c r="H94" s="84" t="str">
        <f>テーブル2[[#This Row],[Sheet]]&amp;TEXT(ROW()-64,"00")</f>
        <v>暖房30</v>
      </c>
    </row>
    <row r="95" spans="1:8" x14ac:dyDescent="0.4">
      <c r="A95" s="2">
        <f t="shared" si="4"/>
        <v>94</v>
      </c>
      <c r="B95" s="24" t="s">
        <v>227</v>
      </c>
      <c r="C95" s="24" t="str">
        <f>'option-elements'!B128&amp;"_"&amp;'option-elements'!C128</f>
        <v>_</v>
      </c>
      <c r="D95" s="24" t="str">
        <f>'option-elements'!D95</f>
        <v>30.0</v>
      </c>
      <c r="F95" s="26"/>
      <c r="H95" s="84" t="str">
        <f>テーブル2[[#This Row],[Sheet]]&amp;TEXT(ROW()-64,"00")</f>
        <v>暖房31</v>
      </c>
    </row>
    <row r="96" spans="1:8" x14ac:dyDescent="0.4">
      <c r="A96" s="2">
        <f t="shared" si="4"/>
        <v>95</v>
      </c>
      <c r="B96" s="24" t="s">
        <v>227</v>
      </c>
      <c r="C96" s="24" t="str">
        <f>'option-elements'!B129&amp;"_"&amp;'option-elements'!C129</f>
        <v>_</v>
      </c>
      <c r="D96" s="24" t="str">
        <f>'option-elements'!D96</f>
        <v>40.0</v>
      </c>
      <c r="F96" s="26"/>
      <c r="H96" s="84" t="str">
        <f>テーブル2[[#This Row],[Sheet]]&amp;TEXT(ROW()-64,"00")</f>
        <v>暖房32</v>
      </c>
    </row>
    <row r="97" spans="1:8" x14ac:dyDescent="0.4">
      <c r="A97" s="2">
        <f t="shared" si="4"/>
        <v>96</v>
      </c>
      <c r="B97" s="24" t="s">
        <v>227</v>
      </c>
      <c r="C97" s="24" t="str">
        <f>'option-elements'!B130&amp;"_"&amp;'option-elements'!C130</f>
        <v>_</v>
      </c>
      <c r="D97" s="24" t="str">
        <f>'option-elements'!D97</f>
        <v>50.0</v>
      </c>
      <c r="F97" s="26"/>
      <c r="H97" s="84" t="str">
        <f>テーブル2[[#This Row],[Sheet]]&amp;TEXT(ROW()-64,"00")</f>
        <v>暖房33</v>
      </c>
    </row>
    <row r="98" spans="1:8" x14ac:dyDescent="0.4">
      <c r="A98" s="2">
        <f t="shared" si="4"/>
        <v>97</v>
      </c>
      <c r="B98" s="24" t="s">
        <v>227</v>
      </c>
      <c r="C98" s="24" t="str">
        <f>'option-elements'!B131&amp;"_"&amp;'option-elements'!C131</f>
        <v>_</v>
      </c>
      <c r="D98" s="24" t="str">
        <f>'option-elements'!D98</f>
        <v>60.0</v>
      </c>
      <c r="F98" s="26"/>
      <c r="H98" s="84" t="str">
        <f>テーブル2[[#This Row],[Sheet]]&amp;TEXT(ROW()-64,"00")</f>
        <v>暖房34</v>
      </c>
    </row>
    <row r="99" spans="1:8" x14ac:dyDescent="0.4">
      <c r="A99" s="2">
        <f t="shared" si="4"/>
        <v>98</v>
      </c>
      <c r="B99" s="24" t="s">
        <v>227</v>
      </c>
      <c r="C99" s="24" t="str">
        <f>'option-elements'!B132&amp;"_"&amp;'option-elements'!C132</f>
        <v>_</v>
      </c>
      <c r="D99" s="24" t="str">
        <f>'option-elements'!D99</f>
        <v>70.0</v>
      </c>
      <c r="F99" s="26"/>
      <c r="H99" s="84" t="str">
        <f>テーブル2[[#This Row],[Sheet]]&amp;TEXT(ROW()-64,"00")</f>
        <v>暖房35</v>
      </c>
    </row>
    <row r="100" spans="1:8" x14ac:dyDescent="0.4">
      <c r="A100" s="2">
        <f t="shared" si="4"/>
        <v>99</v>
      </c>
      <c r="B100" s="24" t="s">
        <v>227</v>
      </c>
      <c r="C100" s="24" t="str">
        <f>'option-elements'!B133&amp;"_"&amp;'option-elements'!C133</f>
        <v>_</v>
      </c>
      <c r="D100" s="24" t="str">
        <f>'option-elements'!D100</f>
        <v>80.0</v>
      </c>
      <c r="F100" s="26"/>
      <c r="H100" s="84" t="str">
        <f>テーブル2[[#This Row],[Sheet]]&amp;TEXT(ROW()-64,"00")</f>
        <v>暖房36</v>
      </c>
    </row>
    <row r="101" spans="1:8" x14ac:dyDescent="0.4">
      <c r="A101" s="2">
        <f t="shared" si="4"/>
        <v>100</v>
      </c>
      <c r="B101" s="24" t="s">
        <v>227</v>
      </c>
      <c r="C101" s="24" t="str">
        <f>'option-elements'!B134&amp;"_"&amp;'option-elements'!C134</f>
        <v>暖房03_エネルギー消費効率の入力_その他の居室</v>
      </c>
      <c r="D101" s="24" t="str">
        <f>'option-elements'!D101</f>
        <v>90.0</v>
      </c>
      <c r="F101" s="26"/>
      <c r="H101" s="84" t="str">
        <f>テーブル2[[#This Row],[Sheet]]&amp;TEXT(ROW()-64,"00")</f>
        <v>暖房37</v>
      </c>
    </row>
    <row r="102" spans="1:8" x14ac:dyDescent="0.4">
      <c r="A102" s="2">
        <f t="shared" si="4"/>
        <v>101</v>
      </c>
      <c r="B102" s="24" t="s">
        <v>227</v>
      </c>
      <c r="C102" s="24" t="str">
        <f>'option-elements'!B135&amp;"_"&amp;'option-elements'!C135</f>
        <v>_</v>
      </c>
      <c r="D102" s="24" t="str">
        <f>'option-elements'!D102</f>
        <v>100.0</v>
      </c>
      <c r="F102" s="26"/>
      <c r="H102" s="84" t="str">
        <f>テーブル2[[#This Row],[Sheet]]&amp;TEXT(ROW()-64,"00")</f>
        <v>暖房38</v>
      </c>
    </row>
    <row r="103" spans="1:8" x14ac:dyDescent="0.4">
      <c r="A103" s="2">
        <f t="shared" si="4"/>
        <v>102</v>
      </c>
      <c r="B103" s="24" t="s">
        <v>227</v>
      </c>
      <c r="C103" s="24" t="str">
        <f>'option-elements'!B136&amp;"_"&amp;'option-elements'!C136</f>
        <v>暖房03_定格能力におけるエネルギー消費効率_その他の居室</v>
      </c>
      <c r="D103" s="24" t="str">
        <f>'option-elements'!D103</f>
        <v>10</v>
      </c>
      <c r="F103" s="26"/>
      <c r="H103" s="84" t="str">
        <f>テーブル2[[#This Row],[Sheet]]&amp;TEXT(ROW()-64,"00")</f>
        <v>暖房39</v>
      </c>
    </row>
    <row r="104" spans="1:8" x14ac:dyDescent="0.4">
      <c r="A104" s="2">
        <f t="shared" si="4"/>
        <v>103</v>
      </c>
      <c r="B104" s="24" t="s">
        <v>227</v>
      </c>
      <c r="C104" s="24" t="str">
        <f>'option-elements'!B137&amp;"_"&amp;'option-elements'!C137</f>
        <v>暖房03_エネルギー消費効率の区分_その他の居室</v>
      </c>
      <c r="D104" s="24" t="str">
        <f>'option-elements'!D104</f>
        <v>20</v>
      </c>
      <c r="F104" s="26"/>
      <c r="H104" s="84" t="str">
        <f>テーブル2[[#This Row],[Sheet]]&amp;TEXT(ROW()-64,"00")</f>
        <v>暖房40</v>
      </c>
    </row>
    <row r="105" spans="1:8" x14ac:dyDescent="0.4">
      <c r="A105" s="2">
        <f t="shared" si="4"/>
        <v>104</v>
      </c>
      <c r="B105" s="24" t="s">
        <v>227</v>
      </c>
      <c r="C105" s="24" t="str">
        <f>'option-elements'!B138&amp;"_"&amp;'option-elements'!C138</f>
        <v>_</v>
      </c>
      <c r="D105" s="24" t="str">
        <f>'option-elements'!D105</f>
        <v>30</v>
      </c>
      <c r="F105" s="26"/>
      <c r="H105" s="84" t="str">
        <f>テーブル2[[#This Row],[Sheet]]&amp;TEXT(ROW()-64,"00")</f>
        <v>暖房41</v>
      </c>
    </row>
    <row r="106" spans="1:8" x14ac:dyDescent="0.4">
      <c r="A106" s="2">
        <f t="shared" si="4"/>
        <v>105</v>
      </c>
      <c r="B106" s="24" t="s">
        <v>227</v>
      </c>
      <c r="C106" s="24" t="str">
        <f>'option-elements'!B139&amp;"_"&amp;'option-elements'!C139</f>
        <v>_</v>
      </c>
      <c r="D106" s="24" t="str">
        <f>'option-elements'!D106</f>
        <v>40</v>
      </c>
      <c r="F106" s="26"/>
      <c r="H106" s="84" t="str">
        <f>テーブル2[[#This Row],[Sheet]]&amp;TEXT(ROW()-64,"00")</f>
        <v>暖房42</v>
      </c>
    </row>
    <row r="107" spans="1:8" x14ac:dyDescent="0.4">
      <c r="A107" s="2">
        <f t="shared" si="4"/>
        <v>106</v>
      </c>
      <c r="B107" s="24" t="s">
        <v>227</v>
      </c>
      <c r="C107" s="24" t="str">
        <f>'option-elements'!B140&amp;"_"&amp;'option-elements'!C140</f>
        <v>暖房03_小能力時高効率型コンプレッサー_その他の居室</v>
      </c>
      <c r="D107" s="24" t="str">
        <f>'option-elements'!D107</f>
        <v>50</v>
      </c>
      <c r="F107" s="26"/>
      <c r="H107" s="84" t="str">
        <f>テーブル2[[#This Row],[Sheet]]&amp;TEXT(ROW()-64,"00")</f>
        <v>暖房43</v>
      </c>
    </row>
    <row r="108" spans="1:8" x14ac:dyDescent="0.4">
      <c r="A108" s="2">
        <f t="shared" si="4"/>
        <v>107</v>
      </c>
      <c r="B108" s="24" t="s">
        <v>227</v>
      </c>
      <c r="C108" s="24" t="str">
        <f>'option-elements'!B141&amp;"_"&amp;'option-elements'!C141</f>
        <v>_</v>
      </c>
      <c r="D108" s="24" t="str">
        <f>'option-elements'!D108</f>
        <v>60</v>
      </c>
      <c r="F108" s="26"/>
      <c r="H108" s="84" t="str">
        <f>テーブル2[[#This Row],[Sheet]]&amp;TEXT(ROW()-64,"00")</f>
        <v>暖房44</v>
      </c>
    </row>
    <row r="109" spans="1:8" x14ac:dyDescent="0.4">
      <c r="A109" s="2">
        <f t="shared" si="4"/>
        <v>108</v>
      </c>
      <c r="B109" s="24" t="s">
        <v>227</v>
      </c>
      <c r="C109" s="24" t="str">
        <f>'option-elements'!B142&amp;"_"&amp;'option-elements'!C142</f>
        <v>暖房03_敷設率の入力_その他の居室</v>
      </c>
      <c r="D109" s="24" t="str">
        <f>'option-elements'!D109</f>
        <v>70</v>
      </c>
      <c r="F109" s="26"/>
      <c r="H109" s="84" t="str">
        <f>テーブル2[[#This Row],[Sheet]]&amp;TEXT(ROW()-64,"00")</f>
        <v>暖房45</v>
      </c>
    </row>
    <row r="110" spans="1:8" x14ac:dyDescent="0.4">
      <c r="A110" s="2">
        <f t="shared" si="4"/>
        <v>109</v>
      </c>
      <c r="B110" s="24" t="s">
        <v>227</v>
      </c>
      <c r="C110" s="24" t="str">
        <f>'option-elements'!B143&amp;"_"&amp;'option-elements'!C143</f>
        <v>_</v>
      </c>
      <c r="D110" s="24" t="str">
        <f>'option-elements'!D110</f>
        <v>80</v>
      </c>
      <c r="F110" s="26"/>
      <c r="H110" s="84" t="str">
        <f>テーブル2[[#This Row],[Sheet]]&amp;TEXT(ROW()-64,"00")</f>
        <v>暖房46</v>
      </c>
    </row>
    <row r="111" spans="1:8" x14ac:dyDescent="0.4">
      <c r="A111" s="2">
        <f t="shared" si="4"/>
        <v>110</v>
      </c>
      <c r="B111" s="24" t="s">
        <v>227</v>
      </c>
      <c r="C111" s="24" t="str">
        <f>'option-elements'!B144&amp;"_"&amp;'option-elements'!C144</f>
        <v>暖房03_敷設率_その他の居室</v>
      </c>
      <c r="D111" s="24" t="str">
        <f>'option-elements'!D111</f>
        <v>90</v>
      </c>
      <c r="F111" s="26"/>
      <c r="H111" s="84" t="str">
        <f>テーブル2[[#This Row],[Sheet]]&amp;TEXT(ROW()-64,"00")</f>
        <v>暖房47</v>
      </c>
    </row>
    <row r="112" spans="1:8" x14ac:dyDescent="0.4">
      <c r="A112" s="2">
        <f t="shared" si="4"/>
        <v>111</v>
      </c>
      <c r="B112" s="24" t="s">
        <v>227</v>
      </c>
      <c r="C112" s="24" t="str">
        <f>'option-elements'!B145&amp;"_"&amp;'option-elements'!C145</f>
        <v>暖房03_上面放熱率_床の断熱_その他の居室</v>
      </c>
      <c r="D112" s="24" t="str">
        <f>'option-elements'!D112</f>
        <v>100</v>
      </c>
      <c r="F112" s="26"/>
      <c r="H112" s="84" t="str">
        <f>テーブル2[[#This Row],[Sheet]]&amp;TEXT(ROW()-64,"00")</f>
        <v>暖房48</v>
      </c>
    </row>
    <row r="113" spans="1:8" x14ac:dyDescent="0.4">
      <c r="A113" s="2">
        <f t="shared" si="4"/>
        <v>112</v>
      </c>
      <c r="B113" s="24" t="s">
        <v>227</v>
      </c>
      <c r="C113" s="24" t="str">
        <f>'option-elements'!B146&amp;"_"&amp;'option-elements'!C146</f>
        <v>_</v>
      </c>
      <c r="D113" s="24" t="str">
        <f>'option-elements'!D113</f>
        <v>評価しない</v>
      </c>
      <c r="F113" s="26"/>
      <c r="H113" s="84" t="str">
        <f>テーブル2[[#This Row],[Sheet]]&amp;TEXT(ROW()-64,"00")</f>
        <v>暖房49</v>
      </c>
    </row>
    <row r="114" spans="1:8" x14ac:dyDescent="0.4">
      <c r="A114" s="2">
        <f t="shared" si="4"/>
        <v>113</v>
      </c>
      <c r="B114" s="24" t="s">
        <v>227</v>
      </c>
      <c r="C114" s="24" t="str">
        <f>'option-elements'!B147&amp;"_"&amp;'option-elements'!C147</f>
        <v>_</v>
      </c>
      <c r="D114" s="24" t="str">
        <f>'option-elements'!D114</f>
        <v>評価する</v>
      </c>
      <c r="F114" s="26"/>
      <c r="H114" s="84" t="str">
        <f>テーブル2[[#This Row],[Sheet]]&amp;TEXT(ROW()-64,"00")</f>
        <v>暖房50</v>
      </c>
    </row>
    <row r="115" spans="1:8" x14ac:dyDescent="0.4">
      <c r="A115" s="2">
        <f t="shared" si="4"/>
        <v>114</v>
      </c>
      <c r="B115" s="24" t="s">
        <v>227</v>
      </c>
      <c r="C115" s="24" t="str">
        <f>'option-elements'!B148&amp;"_"&amp;'option-elements'!C148</f>
        <v>_</v>
      </c>
      <c r="D115" s="24" t="str">
        <f>'option-elements'!D115</f>
        <v>評価しない、または採用しない</v>
      </c>
      <c r="F115" s="26"/>
      <c r="H115" s="84" t="str">
        <f>テーブル2[[#This Row],[Sheet]]&amp;TEXT(ROW()-64,"00")</f>
        <v>暖房51</v>
      </c>
    </row>
    <row r="116" spans="1:8" x14ac:dyDescent="0.4">
      <c r="A116" s="2">
        <f t="shared" si="4"/>
        <v>115</v>
      </c>
      <c r="B116" s="24" t="s">
        <v>227</v>
      </c>
      <c r="C116" s="24" t="str">
        <f>'option-elements'!B149&amp;"_"&amp;'option-elements'!C149</f>
        <v>_</v>
      </c>
      <c r="D116" s="24" t="str">
        <f>'option-elements'!D116</f>
        <v>採用する</v>
      </c>
      <c r="F116" s="26"/>
      <c r="H116" s="84" t="str">
        <f>テーブル2[[#This Row],[Sheet]]&amp;TEXT(ROW()-64,"00")</f>
        <v>暖房52</v>
      </c>
    </row>
    <row r="117" spans="1:8" x14ac:dyDescent="0.4">
      <c r="A117" s="2">
        <f t="shared" ref="A117:A119" si="5">ROW()-1</f>
        <v>116</v>
      </c>
      <c r="B117" s="24" t="s">
        <v>227</v>
      </c>
      <c r="C117" s="24" t="str">
        <f>'option-elements'!B150&amp;"_"&amp;'option-elements'!C150</f>
        <v>_</v>
      </c>
      <c r="D117" s="24">
        <f>'option-elements'!D117</f>
        <v>12.5</v>
      </c>
      <c r="F117" s="26"/>
      <c r="H117" s="84" t="str">
        <f>テーブル2[[#This Row],[Sheet]]&amp;TEXT(ROW()-64,"00")</f>
        <v>暖房53</v>
      </c>
    </row>
    <row r="118" spans="1:8" x14ac:dyDescent="0.4">
      <c r="A118" s="2">
        <f t="shared" si="5"/>
        <v>117</v>
      </c>
      <c r="B118" s="24" t="s">
        <v>227</v>
      </c>
      <c r="C118" s="24" t="str">
        <f>'option-elements'!B151&amp;"_"&amp;'option-elements'!C151</f>
        <v>_</v>
      </c>
      <c r="D118" s="24">
        <f>'option-elements'!D118</f>
        <v>63.7</v>
      </c>
      <c r="F118" s="26"/>
      <c r="H118" s="84" t="str">
        <f>テーブル2[[#This Row],[Sheet]]&amp;TEXT(ROW()-64,"00")</f>
        <v>暖房54</v>
      </c>
    </row>
    <row r="119" spans="1:8" x14ac:dyDescent="0.4">
      <c r="A119" s="2">
        <f t="shared" si="5"/>
        <v>118</v>
      </c>
      <c r="B119" s="24" t="s">
        <v>227</v>
      </c>
      <c r="C119" s="24" t="str">
        <f>'option-elements'!B152&amp;"_"&amp;'option-elements'!C152</f>
        <v>_</v>
      </c>
      <c r="D119" s="24">
        <f>'option-elements'!D119</f>
        <v>155</v>
      </c>
      <c r="F119" s="26"/>
      <c r="H119" s="84" t="str">
        <f>テーブル2[[#This Row],[Sheet]]&amp;TEXT(ROW()-64,"00")</f>
        <v>暖房55</v>
      </c>
    </row>
    <row r="120" spans="1:8" x14ac:dyDescent="0.4">
      <c r="A120" s="2">
        <f>ROW()-1</f>
        <v>119</v>
      </c>
      <c r="B120" s="24" t="s">
        <v>227</v>
      </c>
      <c r="C120" s="24" t="str">
        <f>'option-elements'!B153&amp;"_"&amp;'option-elements'!C153</f>
        <v>_</v>
      </c>
      <c r="D120" s="24">
        <f>'option-elements'!D120</f>
        <v>134</v>
      </c>
      <c r="F120" s="26"/>
      <c r="H120" s="84" t="str">
        <f>テーブル2[[#This Row],[Sheet]]&amp;TEXT(ROW()-64,"00")</f>
        <v>暖房56</v>
      </c>
    </row>
    <row r="121" spans="1:8" x14ac:dyDescent="0.4">
      <c r="A121" s="2">
        <f t="shared" ref="A121:A136" si="6">ROW()-1</f>
        <v>120</v>
      </c>
      <c r="B121" s="24" t="s">
        <v>227</v>
      </c>
      <c r="C121" s="24" t="str">
        <f>'option-elements'!B154&amp;"_"&amp;'option-elements'!C154</f>
        <v>_</v>
      </c>
      <c r="D121" s="24" t="str">
        <f>'option-elements'!D121</f>
        <v>（その他の暖房機器の名称）</v>
      </c>
      <c r="F121" s="26"/>
      <c r="H121" s="84" t="str">
        <f>テーブル2[[#This Row],[Sheet]]&amp;TEXT(ROW()-64,"00")</f>
        <v>暖房57</v>
      </c>
    </row>
    <row r="122" spans="1:8" x14ac:dyDescent="0.4">
      <c r="A122" s="2">
        <f t="shared" si="6"/>
        <v>121</v>
      </c>
      <c r="B122" s="24" t="s">
        <v>227</v>
      </c>
      <c r="C122" s="24" t="str">
        <f>'option-elements'!B155&amp;"_"&amp;'option-elements'!C155</f>
        <v>暖房03_低出力モード_その他の居室</v>
      </c>
      <c r="D122" s="24" t="str">
        <f>'option-elements'!D122</f>
        <v>ルームエアコンディショナー</v>
      </c>
      <c r="F122" s="26"/>
      <c r="H122" s="84" t="str">
        <f>テーブル2[[#This Row],[Sheet]]&amp;TEXT(ROW()-64,"00")</f>
        <v>暖房58</v>
      </c>
    </row>
    <row r="123" spans="1:8" x14ac:dyDescent="0.4">
      <c r="A123" s="2">
        <f t="shared" si="6"/>
        <v>122</v>
      </c>
      <c r="B123" s="24" t="s">
        <v>227</v>
      </c>
      <c r="C123" s="24" t="str">
        <f>'option-elements'!B156&amp;"_"&amp;'option-elements'!C156</f>
        <v>_</v>
      </c>
      <c r="D123" s="24" t="str">
        <f>'option-elements'!D123</f>
        <v>FF暖房機</v>
      </c>
      <c r="F123" s="26"/>
      <c r="H123" s="84" t="str">
        <f>テーブル2[[#This Row],[Sheet]]&amp;TEXT(ROW()-64,"00")</f>
        <v>暖房59</v>
      </c>
    </row>
    <row r="124" spans="1:8" x14ac:dyDescent="0.4">
      <c r="A124" s="2">
        <f t="shared" si="6"/>
        <v>123</v>
      </c>
      <c r="B124" s="24" t="s">
        <v>227</v>
      </c>
      <c r="C124" s="24" t="str">
        <f>'option-elements'!B157&amp;"_"&amp;'option-elements'!C157</f>
        <v>暖房03_断熱配管_その他の居室</v>
      </c>
      <c r="D124" s="24" t="str">
        <f>'option-elements'!D124</f>
        <v>電気蓄熱暖房器</v>
      </c>
      <c r="F124" s="26"/>
      <c r="H124" s="84" t="str">
        <f>テーブル2[[#This Row],[Sheet]]&amp;TEXT(ROW()-64,"00")</f>
        <v>暖房60</v>
      </c>
    </row>
    <row r="125" spans="1:8" x14ac:dyDescent="0.4">
      <c r="A125" s="2">
        <f t="shared" si="6"/>
        <v>124</v>
      </c>
      <c r="B125" s="24" t="s">
        <v>227</v>
      </c>
      <c r="C125" s="24" t="str">
        <f>'option-elements'!B158&amp;"_"&amp;'option-elements'!C158</f>
        <v>_</v>
      </c>
      <c r="D125" s="24" t="str">
        <f>'option-elements'!D125</f>
        <v>電気ヒーター床暖房</v>
      </c>
      <c r="F125" s="26"/>
      <c r="H125" s="84" t="str">
        <f>テーブル2[[#This Row],[Sheet]]&amp;TEXT(ROW()-64,"00")</f>
        <v>暖房61</v>
      </c>
    </row>
    <row r="126" spans="1:8" x14ac:dyDescent="0.4">
      <c r="A126" s="2">
        <f t="shared" si="6"/>
        <v>125</v>
      </c>
      <c r="B126" s="24" t="s">
        <v>227</v>
      </c>
      <c r="C126" s="24" t="str">
        <f>'option-elements'!B159&amp;"_"&amp;'option-elements'!C159</f>
        <v>暖房03_熱出力_その他の居室</v>
      </c>
      <c r="D126" s="24" t="str">
        <f>'option-elements'!D126</f>
        <v>ルームエアコンディショナー付温水床暖房機</v>
      </c>
      <c r="F126" s="26"/>
      <c r="H126" s="84" t="str">
        <f>テーブル2[[#This Row],[Sheet]]&amp;TEXT(ROW()-64,"00")</f>
        <v>暖房62</v>
      </c>
    </row>
    <row r="127" spans="1:8" x14ac:dyDescent="0.4">
      <c r="A127" s="2">
        <f t="shared" si="6"/>
        <v>126</v>
      </c>
      <c r="B127" s="24" t="s">
        <v>227</v>
      </c>
      <c r="C127" s="24" t="str">
        <f>'option-elements'!B160&amp;"_"&amp;'option-elements'!C160</f>
        <v>暖房03_熱効率_その他の居室</v>
      </c>
      <c r="D127" s="24" t="str">
        <f>'option-elements'!D127</f>
        <v>温水床暖房</v>
      </c>
      <c r="F127" s="26"/>
      <c r="H127" s="84" t="str">
        <f>テーブル2[[#This Row],[Sheet]]&amp;TEXT(ROW()-64,"00")</f>
        <v>暖房63</v>
      </c>
    </row>
    <row r="128" spans="1:8" x14ac:dyDescent="0.4">
      <c r="A128" s="2">
        <f t="shared" si="6"/>
        <v>127</v>
      </c>
      <c r="B128" s="24" t="s">
        <v>227</v>
      </c>
      <c r="C128" s="24" t="str">
        <f>'option-elements'!B161&amp;"_"&amp;'option-elements'!C161</f>
        <v>暖房03_点火時消費電力量_その他の居室</v>
      </c>
      <c r="D128" s="24" t="str">
        <f>'option-elements'!D128</f>
        <v>パネルラジエーター</v>
      </c>
      <c r="F128" s="26"/>
      <c r="H128" s="84" t="str">
        <f>テーブル2[[#This Row],[Sheet]]&amp;TEXT(ROW()-64,"00")</f>
        <v>暖房64</v>
      </c>
    </row>
    <row r="129" spans="1:8" x14ac:dyDescent="0.4">
      <c r="A129" s="2">
        <f t="shared" si="6"/>
        <v>128</v>
      </c>
      <c r="B129" s="24" t="s">
        <v>227</v>
      </c>
      <c r="C129" s="24" t="str">
        <f>'option-elements'!B162&amp;"_"&amp;'option-elements'!C162</f>
        <v>暖房03_定常時消費電力_その他の居室</v>
      </c>
      <c r="D129" s="24" t="str">
        <f>'option-elements'!D129</f>
        <v>ファンコンベクター</v>
      </c>
      <c r="F129" s="26"/>
      <c r="H129" s="84" t="str">
        <f>テーブル2[[#This Row],[Sheet]]&amp;TEXT(ROW()-64,"00")</f>
        <v>暖房65</v>
      </c>
    </row>
    <row r="130" spans="1:8" x14ac:dyDescent="0.4">
      <c r="A130" s="2">
        <f t="shared" si="6"/>
        <v>129</v>
      </c>
      <c r="B130" s="24" t="s">
        <v>227</v>
      </c>
      <c r="C130" s="24" t="str">
        <f>'option-elements'!B163&amp;"_"&amp;'option-elements'!C163</f>
        <v>暖房03_その他の暖房設備機器の名称_その他の居室</v>
      </c>
      <c r="D130" s="24" t="str">
        <f>'option-elements'!D130</f>
        <v>ペレットストーブ</v>
      </c>
      <c r="F130" s="26"/>
      <c r="H130" s="84" t="str">
        <f>テーブル2[[#This Row],[Sheet]]&amp;TEXT(ROW()-64,"00")</f>
        <v>暖房66</v>
      </c>
    </row>
    <row r="131" spans="1:8" x14ac:dyDescent="0.4">
      <c r="A131" s="2">
        <f t="shared" si="6"/>
        <v>130</v>
      </c>
      <c r="B131" s="24" t="s">
        <v>227</v>
      </c>
      <c r="C131" s="24" t="str">
        <f>'option-elements'!B164&amp;"_"&amp;'option-elements'!C164</f>
        <v>暖房04_温水暖房機の種類</v>
      </c>
      <c r="D131" s="24" t="str">
        <f>'option-elements'!D131</f>
        <v>その他の暖房設備機器</v>
      </c>
      <c r="F131" s="26"/>
      <c r="H131" s="84" t="str">
        <f>テーブル2[[#This Row],[Sheet]]&amp;TEXT(ROW()-64,"00")</f>
        <v>暖房67</v>
      </c>
    </row>
    <row r="132" spans="1:8" x14ac:dyDescent="0.4">
      <c r="A132" s="2">
        <f t="shared" si="6"/>
        <v>131</v>
      </c>
      <c r="B132" s="24" t="s">
        <v>227</v>
      </c>
      <c r="C132" s="24" t="str">
        <f>'option-elements'!B165&amp;"_"&amp;'option-elements'!C165</f>
        <v>_</v>
      </c>
      <c r="D132" s="24" t="str">
        <f>'option-elements'!D132</f>
        <v>基準値の算定において想定される機器（増改築部分を対象に評価する場合の基準設定仕様）</v>
      </c>
      <c r="F132" s="26"/>
      <c r="H132" s="84" t="str">
        <f>テーブル2[[#This Row],[Sheet]]&amp;TEXT(ROW()-64,"00")</f>
        <v>暖房68</v>
      </c>
    </row>
    <row r="133" spans="1:8" x14ac:dyDescent="0.4">
      <c r="A133" s="2">
        <f t="shared" si="6"/>
        <v>132</v>
      </c>
      <c r="B133" s="24" t="s">
        <v>227</v>
      </c>
      <c r="C133" s="24" t="str">
        <f>'option-elements'!B166&amp;"_"&amp;'option-elements'!C166</f>
        <v>_</v>
      </c>
      <c r="D133" s="24" t="str">
        <f>'option-elements'!D133</f>
        <v>暖房設備機器または放熱器を設置しない</v>
      </c>
      <c r="F133" s="26"/>
      <c r="H133" s="84" t="str">
        <f>テーブル2[[#This Row],[Sheet]]&amp;TEXT(ROW()-64,"00")</f>
        <v>暖房69</v>
      </c>
    </row>
    <row r="134" spans="1:8" x14ac:dyDescent="0.4">
      <c r="A134" s="2">
        <f t="shared" si="6"/>
        <v>133</v>
      </c>
      <c r="B134" s="24" t="s">
        <v>227</v>
      </c>
      <c r="C134" s="24" t="str">
        <f>'option-elements'!B167&amp;"_"&amp;'option-elements'!C167</f>
        <v>_</v>
      </c>
      <c r="D134" s="24" t="str">
        <f>'option-elements'!D134</f>
        <v>入力しない（規定値を用いる）</v>
      </c>
      <c r="F134" s="26"/>
      <c r="H134" s="84" t="str">
        <f>テーブル2[[#This Row],[Sheet]]&amp;TEXT(ROW()-64,"00")</f>
        <v>暖房70</v>
      </c>
    </row>
    <row r="135" spans="1:8" x14ac:dyDescent="0.4">
      <c r="A135" s="2">
        <f t="shared" si="6"/>
        <v>134</v>
      </c>
      <c r="B135" s="24" t="s">
        <v>227</v>
      </c>
      <c r="C135" s="24" t="str">
        <f>'option-elements'!B168&amp;"_"&amp;'option-elements'!C168</f>
        <v>_</v>
      </c>
      <c r="D135" s="24" t="str">
        <f>'option-elements'!D135</f>
        <v>入力する</v>
      </c>
      <c r="F135" s="26"/>
      <c r="H135" s="84" t="str">
        <f>テーブル2[[#This Row],[Sheet]]&amp;TEXT(ROW()-64,"00")</f>
        <v>暖房71</v>
      </c>
    </row>
    <row r="136" spans="1:8" x14ac:dyDescent="0.4">
      <c r="A136" s="2">
        <f t="shared" si="6"/>
        <v>135</v>
      </c>
      <c r="B136" s="24" t="s">
        <v>227</v>
      </c>
      <c r="C136" s="24" t="str">
        <f>'option-elements'!B169&amp;"_"&amp;'option-elements'!C169</f>
        <v>_</v>
      </c>
      <c r="D136" s="24" t="str">
        <f>'option-elements'!D136</f>
        <v>86.0</v>
      </c>
      <c r="F136" s="26"/>
      <c r="H136" s="84" t="str">
        <f>テーブル2[[#This Row],[Sheet]]&amp;TEXT(ROW()-64,"00")</f>
        <v>暖房72</v>
      </c>
    </row>
    <row r="137" spans="1:8" x14ac:dyDescent="0.4">
      <c r="A137" s="2">
        <f t="shared" ref="A137:A151" si="7">ROW()-1</f>
        <v>136</v>
      </c>
      <c r="B137" s="24" t="s">
        <v>227</v>
      </c>
      <c r="C137" s="24" t="str">
        <f>'option-elements'!B170&amp;"_"&amp;'option-elements'!C170</f>
        <v>_</v>
      </c>
      <c r="D137" s="24" t="str">
        <f>'option-elements'!D137</f>
        <v>区分（い）</v>
      </c>
      <c r="F137" s="26"/>
      <c r="H137" s="84" t="str">
        <f>テーブル2[[#This Row],[Sheet]]&amp;TEXT(ROW()-64,"00")</f>
        <v>暖房73</v>
      </c>
    </row>
    <row r="138" spans="1:8" x14ac:dyDescent="0.4">
      <c r="A138" s="2">
        <f t="shared" si="7"/>
        <v>137</v>
      </c>
      <c r="B138" s="24" t="s">
        <v>227</v>
      </c>
      <c r="C138" s="24" t="str">
        <f>'option-elements'!B171&amp;"_"&amp;'option-elements'!C171</f>
        <v>_</v>
      </c>
      <c r="D138" s="24" t="str">
        <f>'option-elements'!D138</f>
        <v>区分（ろ）</v>
      </c>
      <c r="F138" s="26"/>
      <c r="H138" s="84" t="str">
        <f>テーブル2[[#This Row],[Sheet]]&amp;TEXT(ROW()-64,"00")</f>
        <v>暖房74</v>
      </c>
    </row>
    <row r="139" spans="1:8" x14ac:dyDescent="0.4">
      <c r="A139" s="2">
        <f t="shared" si="7"/>
        <v>138</v>
      </c>
      <c r="B139" s="24" t="s">
        <v>227</v>
      </c>
      <c r="C139" s="24" t="str">
        <f>'option-elements'!B172&amp;"_"&amp;'option-elements'!C172</f>
        <v>_</v>
      </c>
      <c r="D139" s="24" t="str">
        <f>'option-elements'!D139</f>
        <v>区分（は）</v>
      </c>
      <c r="F139" s="26"/>
      <c r="H139" s="84" t="str">
        <f>テーブル2[[#This Row],[Sheet]]&amp;TEXT(ROW()-64,"00")</f>
        <v>暖房75</v>
      </c>
    </row>
    <row r="140" spans="1:8" x14ac:dyDescent="0.4">
      <c r="A140" s="2">
        <f t="shared" si="7"/>
        <v>139</v>
      </c>
      <c r="B140" s="24" t="s">
        <v>227</v>
      </c>
      <c r="C140" s="24" t="str">
        <f>'option-elements'!B173&amp;"_"&amp;'option-elements'!C173</f>
        <v>_</v>
      </c>
      <c r="D140" s="24" t="str">
        <f>'option-elements'!D140</f>
        <v>評価しない、または搭載しない</v>
      </c>
      <c r="F140" s="26"/>
      <c r="H140" s="84" t="str">
        <f>テーブル2[[#This Row],[Sheet]]&amp;TEXT(ROW()-64,"00")</f>
        <v>暖房76</v>
      </c>
    </row>
    <row r="141" spans="1:8" x14ac:dyDescent="0.4">
      <c r="A141" s="2">
        <f t="shared" si="7"/>
        <v>140</v>
      </c>
      <c r="B141" s="24" t="s">
        <v>227</v>
      </c>
      <c r="C141" s="24" t="str">
        <f>'option-elements'!B174&amp;"_"&amp;'option-elements'!C174</f>
        <v>_</v>
      </c>
      <c r="D141" s="24" t="str">
        <f>'option-elements'!D141</f>
        <v>搭載する</v>
      </c>
      <c r="F141" s="26"/>
      <c r="H141" s="84" t="str">
        <f>テーブル2[[#This Row],[Sheet]]&amp;TEXT(ROW()-64,"00")</f>
        <v>暖房77</v>
      </c>
    </row>
    <row r="142" spans="1:8" x14ac:dyDescent="0.4">
      <c r="A142" s="2">
        <f t="shared" si="7"/>
        <v>141</v>
      </c>
      <c r="B142" s="24" t="s">
        <v>227</v>
      </c>
      <c r="C142" s="24" t="str">
        <f>'option-elements'!B175&amp;"_"&amp;'option-elements'!C175</f>
        <v>_</v>
      </c>
      <c r="D142" s="24" t="str">
        <f>'option-elements'!D142</f>
        <v>入力しない（規定値を用いる）</v>
      </c>
      <c r="F142" s="26"/>
      <c r="H142" s="84" t="str">
        <f>テーブル2[[#This Row],[Sheet]]&amp;TEXT(ROW()-64,"00")</f>
        <v>暖房78</v>
      </c>
    </row>
    <row r="143" spans="1:8" x14ac:dyDescent="0.4">
      <c r="A143" s="2">
        <f t="shared" si="7"/>
        <v>142</v>
      </c>
      <c r="B143" s="24" t="s">
        <v>227</v>
      </c>
      <c r="C143" s="24" t="str">
        <f>'option-elements'!B176&amp;"_"&amp;'option-elements'!C176</f>
        <v>暖房04_エネルギー消費効率の入力</v>
      </c>
      <c r="D143" s="24" t="str">
        <f>'option-elements'!D143</f>
        <v>入力する</v>
      </c>
      <c r="F143" s="26"/>
      <c r="H143" s="84" t="str">
        <f>テーブル2[[#This Row],[Sheet]]&amp;TEXT(ROW()-64,"00")</f>
        <v>暖房79</v>
      </c>
    </row>
    <row r="144" spans="1:8" x14ac:dyDescent="0.4">
      <c r="A144" s="2">
        <f t="shared" si="7"/>
        <v>143</v>
      </c>
      <c r="B144" s="24" t="s">
        <v>227</v>
      </c>
      <c r="C144" s="24" t="str">
        <f>'option-elements'!B177&amp;"_"&amp;'option-elements'!C177</f>
        <v>_</v>
      </c>
      <c r="D144" s="24" t="str">
        <f>'option-elements'!D144</f>
        <v>40.0</v>
      </c>
      <c r="F144" s="26"/>
      <c r="H144" s="84" t="str">
        <f>テーブル2[[#This Row],[Sheet]]&amp;TEXT(ROW()-64,"00")</f>
        <v>暖房80</v>
      </c>
    </row>
    <row r="145" spans="1:8" x14ac:dyDescent="0.4">
      <c r="A145" s="2">
        <f t="shared" si="7"/>
        <v>144</v>
      </c>
      <c r="B145" s="24" t="s">
        <v>227</v>
      </c>
      <c r="C145" s="24" t="str">
        <f>'option-elements'!B178&amp;"_"&amp;'option-elements'!C178</f>
        <v>暖房04_定格能力におけるエネルギー消費効率</v>
      </c>
      <c r="D145" s="24" t="str">
        <f>'option-elements'!D145</f>
        <v>10</v>
      </c>
      <c r="F145" s="26"/>
      <c r="H145" s="84" t="str">
        <f>テーブル2[[#This Row],[Sheet]]&amp;TEXT(ROW()-64,"00")</f>
        <v>暖房81</v>
      </c>
    </row>
    <row r="146" spans="1:8" x14ac:dyDescent="0.4">
      <c r="A146" s="2">
        <f t="shared" si="7"/>
        <v>145</v>
      </c>
      <c r="B146" s="24" t="s">
        <v>227</v>
      </c>
      <c r="C146" s="24" t="str">
        <f>'option-elements'!B179&amp;"_"&amp;'option-elements'!C179</f>
        <v>_</v>
      </c>
      <c r="D146" s="24" t="str">
        <f>'option-elements'!D146</f>
        <v>20</v>
      </c>
      <c r="F146" s="26"/>
      <c r="H146" s="84" t="str">
        <f>テーブル2[[#This Row],[Sheet]]&amp;TEXT(ROW()-64,"00")</f>
        <v>暖房82</v>
      </c>
    </row>
    <row r="147" spans="1:8" x14ac:dyDescent="0.4">
      <c r="A147" s="2">
        <f t="shared" si="7"/>
        <v>146</v>
      </c>
      <c r="B147" s="24" t="s">
        <v>227</v>
      </c>
      <c r="C147" s="24" t="str">
        <f>'option-elements'!B180&amp;"_"&amp;'option-elements'!C180</f>
        <v>_</v>
      </c>
      <c r="D147" s="24" t="str">
        <f>'option-elements'!D147</f>
        <v>30</v>
      </c>
      <c r="F147" s="26"/>
      <c r="H147" s="84" t="str">
        <f>テーブル2[[#This Row],[Sheet]]&amp;TEXT(ROW()-64,"00")</f>
        <v>暖房83</v>
      </c>
    </row>
    <row r="148" spans="1:8" x14ac:dyDescent="0.4">
      <c r="A148" s="2">
        <f t="shared" si="7"/>
        <v>147</v>
      </c>
      <c r="B148" s="24" t="s">
        <v>227</v>
      </c>
      <c r="C148" s="24" t="str">
        <f>'option-elements'!B181&amp;"_"&amp;'option-elements'!C181</f>
        <v>_</v>
      </c>
      <c r="D148" s="24" t="str">
        <f>'option-elements'!D148</f>
        <v>40</v>
      </c>
      <c r="F148" s="26"/>
      <c r="H148" s="84" t="str">
        <f>テーブル2[[#This Row],[Sheet]]&amp;TEXT(ROW()-64,"00")</f>
        <v>暖房84</v>
      </c>
    </row>
    <row r="149" spans="1:8" x14ac:dyDescent="0.4">
      <c r="A149" s="2">
        <f t="shared" si="7"/>
        <v>148</v>
      </c>
      <c r="B149" s="24" t="s">
        <v>227</v>
      </c>
      <c r="C149" s="24" t="str">
        <f>'option-elements'!B182&amp;"_"&amp;'option-elements'!C182</f>
        <v>_</v>
      </c>
      <c r="D149" s="24" t="str">
        <f>'option-elements'!D149</f>
        <v>50</v>
      </c>
      <c r="F149" s="26"/>
      <c r="H149" s="84" t="str">
        <f>テーブル2[[#This Row],[Sheet]]&amp;TEXT(ROW()-64,"00")</f>
        <v>暖房85</v>
      </c>
    </row>
    <row r="150" spans="1:8" x14ac:dyDescent="0.4">
      <c r="A150" s="2">
        <f t="shared" si="7"/>
        <v>149</v>
      </c>
      <c r="B150" s="24" t="s">
        <v>227</v>
      </c>
      <c r="C150" s="24" t="str">
        <f>'option-elements'!B183&amp;"_"&amp;'option-elements'!C183</f>
        <v>_</v>
      </c>
      <c r="D150" s="24" t="str">
        <f>'option-elements'!D150</f>
        <v>60</v>
      </c>
      <c r="F150" s="26"/>
      <c r="H150" s="84" t="str">
        <f>テーブル2[[#This Row],[Sheet]]&amp;TEXT(ROW()-64,"00")</f>
        <v>暖房86</v>
      </c>
    </row>
    <row r="151" spans="1:8" x14ac:dyDescent="0.4">
      <c r="A151" s="2">
        <f t="shared" si="7"/>
        <v>150</v>
      </c>
      <c r="B151" s="24" t="s">
        <v>227</v>
      </c>
      <c r="C151" s="24" t="str">
        <f>'option-elements'!B184&amp;"_"&amp;'option-elements'!C184</f>
        <v>_</v>
      </c>
      <c r="D151" s="24" t="str">
        <f>'option-elements'!D151</f>
        <v>70</v>
      </c>
      <c r="F151" s="26"/>
      <c r="H151" s="84" t="str">
        <f>テーブル2[[#This Row],[Sheet]]&amp;TEXT(ROW()-64,"00")</f>
        <v>暖房87</v>
      </c>
    </row>
    <row r="152" spans="1:8" x14ac:dyDescent="0.4">
      <c r="A152" s="2">
        <f t="shared" ref="A152:A173" si="8">ROW()-1</f>
        <v>151</v>
      </c>
      <c r="B152" s="24" t="s">
        <v>227</v>
      </c>
      <c r="C152" s="24" t="str">
        <f>'option-elements'!B185&amp;"_"&amp;'option-elements'!C185</f>
        <v>_</v>
      </c>
      <c r="D152" s="24" t="str">
        <f>'option-elements'!D152</f>
        <v>80</v>
      </c>
      <c r="F152" s="26"/>
      <c r="H152" s="84" t="str">
        <f>テーブル2[[#This Row],[Sheet]]&amp;TEXT(ROW()-64,"00")</f>
        <v>暖房88</v>
      </c>
    </row>
    <row r="153" spans="1:8" x14ac:dyDescent="0.4">
      <c r="A153" s="2">
        <f t="shared" si="8"/>
        <v>152</v>
      </c>
      <c r="B153" s="24" t="s">
        <v>227</v>
      </c>
      <c r="C153" s="24" t="str">
        <f>'option-elements'!B186&amp;"_"&amp;'option-elements'!C186</f>
        <v>_</v>
      </c>
      <c r="D153" s="24" t="str">
        <f>'option-elements'!D153</f>
        <v>90</v>
      </c>
      <c r="F153" s="26"/>
      <c r="H153" s="84" t="str">
        <f>テーブル2[[#This Row],[Sheet]]&amp;TEXT(ROW()-64,"00")</f>
        <v>暖房89</v>
      </c>
    </row>
    <row r="154" spans="1:8" x14ac:dyDescent="0.4">
      <c r="A154" s="2">
        <f t="shared" si="8"/>
        <v>153</v>
      </c>
      <c r="B154" s="24" t="s">
        <v>227</v>
      </c>
      <c r="C154" s="24" t="str">
        <f>'option-elements'!B187&amp;"_"&amp;'option-elements'!C187</f>
        <v>_</v>
      </c>
      <c r="D154" s="24" t="str">
        <f>'option-elements'!D154</f>
        <v>100</v>
      </c>
      <c r="F154" s="26"/>
      <c r="H154" s="84" t="str">
        <f>テーブル2[[#This Row],[Sheet]]&amp;TEXT(ROW()-64,"00")</f>
        <v>暖房90</v>
      </c>
    </row>
    <row r="155" spans="1:8" x14ac:dyDescent="0.4">
      <c r="A155" s="2">
        <f t="shared" si="8"/>
        <v>154</v>
      </c>
      <c r="B155" s="24" t="s">
        <v>227</v>
      </c>
      <c r="C155" s="24" t="str">
        <f>'option-elements'!B188&amp;"_"&amp;'option-elements'!C188</f>
        <v>暖房04_熱交換器タイプの入力</v>
      </c>
      <c r="D155" s="24" t="str">
        <f>'option-elements'!D155</f>
        <v>評価しない</v>
      </c>
      <c r="F155" s="26"/>
      <c r="H155" s="84" t="str">
        <f>テーブル2[[#This Row],[Sheet]]&amp;TEXT(ROW()-64,"00")</f>
        <v>暖房91</v>
      </c>
    </row>
    <row r="156" spans="1:8" x14ac:dyDescent="0.4">
      <c r="A156" s="2">
        <f t="shared" si="8"/>
        <v>155</v>
      </c>
      <c r="B156" s="24" t="s">
        <v>227</v>
      </c>
      <c r="C156" s="24" t="str">
        <f>'option-elements'!B189&amp;"_"&amp;'option-elements'!C189</f>
        <v>_</v>
      </c>
      <c r="D156" s="24" t="str">
        <f>'option-elements'!D156</f>
        <v>評価する</v>
      </c>
      <c r="F156" s="26"/>
      <c r="H156" s="84" t="str">
        <f>テーブル2[[#This Row],[Sheet]]&amp;TEXT(ROW()-64,"00")</f>
        <v>暖房92</v>
      </c>
    </row>
    <row r="157" spans="1:8" x14ac:dyDescent="0.4">
      <c r="A157" s="2">
        <f t="shared" si="8"/>
        <v>156</v>
      </c>
      <c r="B157" s="24" t="s">
        <v>227</v>
      </c>
      <c r="C157" s="24" t="str">
        <f>'option-elements'!B190&amp;"_"&amp;'option-elements'!C190</f>
        <v>暖房04_熱交換器タイプ</v>
      </c>
      <c r="D157" s="24" t="str">
        <f>'option-elements'!D157</f>
        <v>評価しない、または採用しない</v>
      </c>
      <c r="F157" s="26"/>
      <c r="H157" s="84" t="str">
        <f>テーブル2[[#This Row],[Sheet]]&amp;TEXT(ROW()-64,"00")</f>
        <v>暖房93</v>
      </c>
    </row>
    <row r="158" spans="1:8" x14ac:dyDescent="0.4">
      <c r="A158" s="2">
        <f t="shared" si="8"/>
        <v>157</v>
      </c>
      <c r="B158" s="24" t="s">
        <v>227</v>
      </c>
      <c r="C158" s="24" t="str">
        <f>'option-elements'!B191&amp;"_"&amp;'option-elements'!C191</f>
        <v>_</v>
      </c>
      <c r="D158" s="24" t="str">
        <f>'option-elements'!D158</f>
        <v>採用する</v>
      </c>
      <c r="F158" s="26"/>
      <c r="H158" s="84" t="str">
        <f>テーブル2[[#This Row],[Sheet]]&amp;TEXT(ROW()-64,"00")</f>
        <v>暖房94</v>
      </c>
    </row>
    <row r="159" spans="1:8" x14ac:dyDescent="0.4">
      <c r="A159" s="2">
        <f t="shared" si="8"/>
        <v>158</v>
      </c>
      <c r="B159" s="24" t="s">
        <v>227</v>
      </c>
      <c r="C159" s="24" t="str">
        <f>'option-elements'!B192&amp;"_"&amp;'option-elements'!C192</f>
        <v>_</v>
      </c>
      <c r="D159" s="24">
        <f>'option-elements'!D159</f>
        <v>12.5</v>
      </c>
      <c r="F159" s="26"/>
      <c r="H159" s="84" t="str">
        <f>テーブル2[[#This Row],[Sheet]]&amp;TEXT(ROW()-64,"00")</f>
        <v>暖房95</v>
      </c>
    </row>
    <row r="160" spans="1:8" x14ac:dyDescent="0.4">
      <c r="A160" s="2">
        <f t="shared" si="8"/>
        <v>159</v>
      </c>
      <c r="B160" s="24" t="s">
        <v>227</v>
      </c>
      <c r="C160" s="24" t="str">
        <f>'option-elements'!B193&amp;"_"&amp;'option-elements'!C193</f>
        <v>_</v>
      </c>
      <c r="D160" s="24">
        <f>'option-elements'!D160</f>
        <v>63.7</v>
      </c>
      <c r="F160" s="26"/>
      <c r="H160" s="84" t="str">
        <f>テーブル2[[#This Row],[Sheet]]&amp;TEXT(ROW()-64,"00")</f>
        <v>暖房96</v>
      </c>
    </row>
    <row r="161" spans="1:8" x14ac:dyDescent="0.4">
      <c r="A161" s="2">
        <f t="shared" si="8"/>
        <v>160</v>
      </c>
      <c r="B161" s="24" t="s">
        <v>227</v>
      </c>
      <c r="C161" s="24" t="str">
        <f>'option-elements'!B194&amp;"_"&amp;'option-elements'!C194</f>
        <v>_</v>
      </c>
      <c r="D161" s="24">
        <f>'option-elements'!D161</f>
        <v>155</v>
      </c>
      <c r="F161" s="26"/>
      <c r="H161" s="84" t="str">
        <f>テーブル2[[#This Row],[Sheet]]&amp;TEXT(ROW()-64,"00")</f>
        <v>暖房97</v>
      </c>
    </row>
    <row r="162" spans="1:8" x14ac:dyDescent="0.4">
      <c r="A162" s="2">
        <f t="shared" si="8"/>
        <v>161</v>
      </c>
      <c r="B162" s="24" t="s">
        <v>227</v>
      </c>
      <c r="C162" s="24" t="str">
        <f>'option-elements'!B195&amp;"_"&amp;'option-elements'!C195</f>
        <v>暖房04_その他の温水暖房機の名称</v>
      </c>
      <c r="D162" s="24">
        <f>'option-elements'!D162</f>
        <v>134</v>
      </c>
      <c r="F162" s="26"/>
      <c r="H162" s="84" t="str">
        <f>テーブル2[[#This Row],[Sheet]]&amp;TEXT(ROW()-64,"00")</f>
        <v>暖房98</v>
      </c>
    </row>
    <row r="163" spans="1:8" x14ac:dyDescent="0.4">
      <c r="A163" s="2">
        <f t="shared" si="8"/>
        <v>162</v>
      </c>
      <c r="B163" s="24" t="s">
        <v>227</v>
      </c>
      <c r="C163" s="24" t="str">
        <f>'option-elements'!B196&amp;"_"&amp;'option-elements'!C196</f>
        <v>暖房04_断熱配管</v>
      </c>
      <c r="D163" s="24" t="str">
        <f>'option-elements'!D163</f>
        <v>（その他の暖房機器の名称）</v>
      </c>
      <c r="F163" s="26"/>
      <c r="H163" s="84" t="str">
        <f>テーブル2[[#This Row],[Sheet]]&amp;TEXT(ROW()-64,"00")</f>
        <v>暖房99</v>
      </c>
    </row>
    <row r="164" spans="1:8" x14ac:dyDescent="0.4">
      <c r="A164" s="2">
        <f t="shared" si="8"/>
        <v>163</v>
      </c>
      <c r="B164" s="24" t="s">
        <v>227</v>
      </c>
      <c r="C164" s="24" t="str">
        <f>'option-elements'!B197&amp;"_"&amp;'option-elements'!C197</f>
        <v>_</v>
      </c>
      <c r="D164" s="24" t="str">
        <f>'option-elements'!D164</f>
        <v>ガス従来型温水暖房機</v>
      </c>
      <c r="F164" s="26"/>
      <c r="H164" s="84" t="str">
        <f>テーブル2[[#This Row],[Sheet]]&amp;TEXT(ROW()-64,"00")</f>
        <v>暖房100</v>
      </c>
    </row>
    <row r="165" spans="1:8" x14ac:dyDescent="0.4">
      <c r="A165" s="2">
        <f t="shared" si="8"/>
        <v>164</v>
      </c>
      <c r="B165" s="24" t="s">
        <v>227</v>
      </c>
      <c r="C165" s="24" t="str">
        <f>'option-elements'!B198&amp;"_"&amp;'option-elements'!C198</f>
        <v>暖房04_配管が通過する空間</v>
      </c>
      <c r="D165" s="24" t="str">
        <f>'option-elements'!D165</f>
        <v>ガス潜熱回収型温水暖房機</v>
      </c>
      <c r="F165" s="26"/>
      <c r="H165" s="84" t="str">
        <f>テーブル2[[#This Row],[Sheet]]&amp;TEXT(ROW()-64,"00")</f>
        <v>暖房101</v>
      </c>
    </row>
    <row r="166" spans="1:8" x14ac:dyDescent="0.4">
      <c r="A166" s="2">
        <f t="shared" si="8"/>
        <v>165</v>
      </c>
      <c r="B166" s="24" t="s">
        <v>227</v>
      </c>
      <c r="C166" s="24" t="str">
        <f>'option-elements'!B199&amp;"_"&amp;'option-elements'!C199</f>
        <v>_</v>
      </c>
      <c r="D166" s="24" t="str">
        <f>'option-elements'!D166</f>
        <v>石油従来型温水暖房機</v>
      </c>
      <c r="F166" s="26"/>
      <c r="H166" s="84" t="str">
        <f>テーブル2[[#This Row],[Sheet]]&amp;TEXT(ROW()-64,"00")</f>
        <v>暖房102</v>
      </c>
    </row>
    <row r="167" spans="1:8" x14ac:dyDescent="0.4">
      <c r="A167" s="2">
        <f t="shared" si="8"/>
        <v>166</v>
      </c>
      <c r="B167" s="24" t="s">
        <v>227</v>
      </c>
      <c r="C167" s="24" t="str">
        <f>'option-elements'!B200&amp;"_"&amp;'option-elements'!C200</f>
        <v>暖房05_暖房設備機器の種類</v>
      </c>
      <c r="D167" s="24" t="str">
        <f>'option-elements'!D167</f>
        <v>石油潜熱回収型温水暖房機</v>
      </c>
      <c r="F167" s="26"/>
      <c r="H167" s="84" t="str">
        <f>テーブル2[[#This Row],[Sheet]]&amp;TEXT(ROW()-64,"00")</f>
        <v>暖房103</v>
      </c>
    </row>
    <row r="168" spans="1:8" x14ac:dyDescent="0.4">
      <c r="A168" s="2">
        <f t="shared" si="8"/>
        <v>167</v>
      </c>
      <c r="B168" s="24" t="s">
        <v>227</v>
      </c>
      <c r="C168" s="24" t="str">
        <f>'option-elements'!B201&amp;"_"&amp;'option-elements'!C201</f>
        <v>暖房05_ダクトが通過する空間</v>
      </c>
      <c r="D168" s="24" t="str">
        <f>'option-elements'!D168</f>
        <v>電気ヒートポンプ温水暖房機（フロン系冷媒）</v>
      </c>
      <c r="F168" s="26"/>
      <c r="H168" s="84" t="str">
        <f>テーブル2[[#This Row],[Sheet]]&amp;TEXT(ROW()-64,"00")</f>
        <v>暖房104</v>
      </c>
    </row>
    <row r="169" spans="1:8" x14ac:dyDescent="0.4">
      <c r="A169" s="2">
        <f t="shared" si="8"/>
        <v>168</v>
      </c>
      <c r="B169" s="24" t="s">
        <v>227</v>
      </c>
      <c r="C169" s="24" t="str">
        <f>'option-elements'!B202&amp;"_"&amp;'option-elements'!C202</f>
        <v>_</v>
      </c>
      <c r="D169" s="24" t="str">
        <f>'option-elements'!D169</f>
        <v>電気ヒーター温水暖房機</v>
      </c>
      <c r="F169" s="26"/>
      <c r="H169" s="84" t="str">
        <f>テーブル2[[#This Row],[Sheet]]&amp;TEXT(ROW()-64,"00")</f>
        <v>暖房105</v>
      </c>
    </row>
    <row r="170" spans="1:8" x14ac:dyDescent="0.4">
      <c r="A170" s="2">
        <f t="shared" si="8"/>
        <v>169</v>
      </c>
      <c r="B170" s="24" t="s">
        <v>227</v>
      </c>
      <c r="C170" s="24" t="str">
        <f>'option-elements'!B203&amp;"_"&amp;'option-elements'!C203</f>
        <v>暖房05_VAV方式</v>
      </c>
      <c r="D170" s="24" t="str">
        <f>'option-elements'!D170</f>
        <v>地中熱ヒートポンプ温水暖房機</v>
      </c>
      <c r="F170" s="26"/>
      <c r="H170" s="84" t="str">
        <f>テーブル2[[#This Row],[Sheet]]&amp;TEXT(ROW()-64,"00")</f>
        <v>暖房106</v>
      </c>
    </row>
    <row r="171" spans="1:8" x14ac:dyDescent="0.4">
      <c r="A171" s="2">
        <f t="shared" si="8"/>
        <v>170</v>
      </c>
      <c r="B171" s="24" t="s">
        <v>227</v>
      </c>
      <c r="C171" s="24" t="str">
        <f>'option-elements'!B204&amp;"_"&amp;'option-elements'!C204</f>
        <v>_</v>
      </c>
      <c r="D171" s="24" t="str">
        <f>'option-elements'!D171</f>
        <v>給湯・温水暖房一体型</v>
      </c>
      <c r="F171" s="26"/>
      <c r="H171" s="84" t="str">
        <f>テーブル2[[#This Row],[Sheet]]&amp;TEXT(ROW()-64,"00")</f>
        <v>暖房107</v>
      </c>
    </row>
    <row r="172" spans="1:8" x14ac:dyDescent="0.4">
      <c r="A172" s="2">
        <f t="shared" si="8"/>
        <v>171</v>
      </c>
      <c r="B172" s="24" t="s">
        <v>227</v>
      </c>
      <c r="C172" s="24" t="str">
        <f>'option-elements'!B205&amp;"_"&amp;'option-elements'!C205</f>
        <v>暖房05_全般換気機能</v>
      </c>
      <c r="D172" s="24" t="str">
        <f>'option-elements'!D172</f>
        <v>コージェネレーション</v>
      </c>
      <c r="F172" s="26"/>
      <c r="H172" s="84" t="str">
        <f>テーブル2[[#This Row],[Sheet]]&amp;TEXT(ROW()-64,"00")</f>
        <v>暖房108</v>
      </c>
    </row>
    <row r="173" spans="1:8" x14ac:dyDescent="0.4">
      <c r="A173" s="2">
        <f t="shared" si="8"/>
        <v>172</v>
      </c>
      <c r="B173" s="24" t="s">
        <v>227</v>
      </c>
      <c r="C173" s="24" t="str">
        <f>'option-elements'!B206&amp;"_"&amp;'option-elements'!C206</f>
        <v>_</v>
      </c>
      <c r="D173" s="24" t="str">
        <f>'option-elements'!D173</f>
        <v>その他の温水暖房機</v>
      </c>
      <c r="F173" s="26"/>
      <c r="H173" s="84" t="str">
        <f>テーブル2[[#This Row],[Sheet]]&amp;TEXT(ROW()-64,"00")</f>
        <v>暖房109</v>
      </c>
    </row>
    <row r="174" spans="1:8" x14ac:dyDescent="0.4">
      <c r="A174" s="2">
        <f t="shared" ref="A174:A192" si="9">ROW()-1</f>
        <v>173</v>
      </c>
      <c r="B174" s="24" t="s">
        <v>227</v>
      </c>
      <c r="C174" s="24" t="str">
        <f>'option-elements'!B207&amp;"_"&amp;'option-elements'!C207</f>
        <v>暖房05_機器の仕様の入力</v>
      </c>
      <c r="D174" s="24" t="str">
        <f>'option-elements'!D174</f>
        <v>基準値の算定において想定される機器（増改築部分を対象に評価する場合の基準設定仕様）</v>
      </c>
      <c r="F174" s="26"/>
      <c r="H174" s="84" t="str">
        <f>テーブル2[[#This Row],[Sheet]]&amp;TEXT(ROW()-64,"00")</f>
        <v>暖房110</v>
      </c>
    </row>
    <row r="175" spans="1:8" x14ac:dyDescent="0.4">
      <c r="A175" s="2">
        <f t="shared" si="9"/>
        <v>174</v>
      </c>
      <c r="B175" s="24" t="s">
        <v>227</v>
      </c>
      <c r="C175" s="24" t="str">
        <f>'option-elements'!B208&amp;"_"&amp;'option-elements'!C208</f>
        <v>_</v>
      </c>
      <c r="D175" s="24" t="str">
        <f>'option-elements'!D175</f>
        <v>温水暖房機を設置しない</v>
      </c>
      <c r="F175" s="26"/>
      <c r="H175" s="84" t="str">
        <f>テーブル2[[#This Row],[Sheet]]&amp;TEXT(ROW()-64,"00")</f>
        <v>暖房111</v>
      </c>
    </row>
    <row r="176" spans="1:8" x14ac:dyDescent="0.4">
      <c r="A176" s="2">
        <f t="shared" si="9"/>
        <v>175</v>
      </c>
      <c r="B176" s="24" t="s">
        <v>227</v>
      </c>
      <c r="C176" s="24" t="str">
        <f>'option-elements'!B209&amp;"_"&amp;'option-elements'!C209</f>
        <v>_</v>
      </c>
      <c r="D176" s="24" t="str">
        <f>'option-elements'!D176</f>
        <v>入力しない（規定値を用いる）</v>
      </c>
      <c r="F176" s="26"/>
      <c r="H176" s="84" t="str">
        <f>テーブル2[[#This Row],[Sheet]]&amp;TEXT(ROW()-64,"00")</f>
        <v>暖房112</v>
      </c>
    </row>
    <row r="177" spans="1:8" x14ac:dyDescent="0.4">
      <c r="A177" s="2">
        <f t="shared" si="9"/>
        <v>176</v>
      </c>
      <c r="B177" s="24" t="s">
        <v>227</v>
      </c>
      <c r="C177" s="24" t="str">
        <f>'option-elements'!B210&amp;"_"&amp;'option-elements'!C210</f>
        <v>暖房05_定格暖房能力試験_能力</v>
      </c>
      <c r="D177" s="24" t="str">
        <f>'option-elements'!D177</f>
        <v>入力する</v>
      </c>
      <c r="F177" s="26"/>
      <c r="H177" s="84" t="str">
        <f>テーブル2[[#This Row],[Sheet]]&amp;TEXT(ROW()-64,"00")</f>
        <v>暖房113</v>
      </c>
    </row>
    <row r="178" spans="1:8" x14ac:dyDescent="0.4">
      <c r="A178" s="2">
        <f t="shared" si="9"/>
        <v>177</v>
      </c>
      <c r="B178" s="24" t="s">
        <v>227</v>
      </c>
      <c r="C178" s="24" t="str">
        <f>'option-elements'!B211&amp;"_"&amp;'option-elements'!C211</f>
        <v>暖房05_定格暖房能力試験_消費電力</v>
      </c>
      <c r="D178" s="24" t="str">
        <f>'option-elements'!D178</f>
        <v>11.0</v>
      </c>
      <c r="F178" s="26"/>
      <c r="H178" s="84" t="str">
        <f>テーブル2[[#This Row],[Sheet]]&amp;TEXT(ROW()-64,"00")</f>
        <v>暖房114</v>
      </c>
    </row>
    <row r="179" spans="1:8" x14ac:dyDescent="0.4">
      <c r="A179" s="2">
        <f t="shared" si="9"/>
        <v>178</v>
      </c>
      <c r="B179" s="24" t="s">
        <v>227</v>
      </c>
      <c r="C179" s="24" t="str">
        <f>'option-elements'!B212&amp;"_"&amp;'option-elements'!C212</f>
        <v xml:space="preserve">暖房05_定格暖房能力試験_風量 </v>
      </c>
      <c r="D179" s="24" t="str">
        <f>'option-elements'!D179</f>
        <v>21.0</v>
      </c>
      <c r="F179" s="26"/>
      <c r="H179" s="84" t="str">
        <f>テーブル2[[#This Row],[Sheet]]&amp;TEXT(ROW()-64,"00")</f>
        <v>暖房115</v>
      </c>
    </row>
    <row r="180" spans="1:8" x14ac:dyDescent="0.4">
      <c r="A180" s="2">
        <f t="shared" si="9"/>
        <v>179</v>
      </c>
      <c r="B180" s="24" t="s">
        <v>227</v>
      </c>
      <c r="C180" s="24" t="str">
        <f>'option-elements'!B213&amp;"_"&amp;'option-elements'!C213</f>
        <v>暖房05_定格暖房能力試験_室内側送風機の消費電力</v>
      </c>
      <c r="D180" s="24" t="str">
        <f>'option-elements'!D180</f>
        <v>31.0</v>
      </c>
      <c r="F180" s="26"/>
      <c r="H180" s="84" t="str">
        <f>テーブル2[[#This Row],[Sheet]]&amp;TEXT(ROW()-64,"00")</f>
        <v>暖房116</v>
      </c>
    </row>
    <row r="181" spans="1:8" x14ac:dyDescent="0.4">
      <c r="A181" s="2">
        <f t="shared" si="9"/>
        <v>180</v>
      </c>
      <c r="B181" s="24" t="s">
        <v>227</v>
      </c>
      <c r="C181" s="24" t="str">
        <f>'option-elements'!B214&amp;"_"&amp;'option-elements'!C214</f>
        <v>暖房05_中間暖房能力試験_能力</v>
      </c>
      <c r="D181" s="24" t="str">
        <f>'option-elements'!D181</f>
        <v>41.0</v>
      </c>
      <c r="F181" s="26"/>
      <c r="H181" s="84" t="str">
        <f>テーブル2[[#This Row],[Sheet]]&amp;TEXT(ROW()-64,"00")</f>
        <v>暖房117</v>
      </c>
    </row>
    <row r="182" spans="1:8" x14ac:dyDescent="0.4">
      <c r="A182" s="2">
        <f t="shared" si="9"/>
        <v>181</v>
      </c>
      <c r="B182" s="24" t="s">
        <v>227</v>
      </c>
      <c r="C182" s="24" t="str">
        <f>'option-elements'!B215&amp;"_"&amp;'option-elements'!C215</f>
        <v>暖房05_中間暖房能力試験_消費電力</v>
      </c>
      <c r="D182" s="24" t="str">
        <f>'option-elements'!D182</f>
        <v>51.0</v>
      </c>
      <c r="F182" s="26"/>
      <c r="H182" s="84" t="str">
        <f>テーブル2[[#This Row],[Sheet]]&amp;TEXT(ROW()-64,"00")</f>
        <v>暖房118</v>
      </c>
    </row>
    <row r="183" spans="1:8" x14ac:dyDescent="0.4">
      <c r="A183" s="2">
        <f t="shared" si="9"/>
        <v>182</v>
      </c>
      <c r="B183" s="24" t="s">
        <v>227</v>
      </c>
      <c r="C183" s="24" t="str">
        <f>'option-elements'!B216&amp;"_"&amp;'option-elements'!C216</f>
        <v xml:space="preserve">暖房05_中間暖房能力試験_風量 </v>
      </c>
      <c r="D183" s="24" t="str">
        <f>'option-elements'!D183</f>
        <v>61.0</v>
      </c>
      <c r="F183" s="26"/>
      <c r="H183" s="84" t="str">
        <f>テーブル2[[#This Row],[Sheet]]&amp;TEXT(ROW()-64,"00")</f>
        <v>暖房119</v>
      </c>
    </row>
    <row r="184" spans="1:8" x14ac:dyDescent="0.4">
      <c r="A184" s="2">
        <f t="shared" si="9"/>
        <v>183</v>
      </c>
      <c r="B184" s="24" t="s">
        <v>227</v>
      </c>
      <c r="C184" s="24" t="str">
        <f>'option-elements'!B217&amp;"_"&amp;'option-elements'!C217</f>
        <v>暖房05_中間暖房能力試験_室内側送風機の消費電力</v>
      </c>
      <c r="D184" s="24" t="str">
        <f>'option-elements'!D184</f>
        <v>71.0</v>
      </c>
      <c r="F184" s="26"/>
      <c r="H184" s="84" t="str">
        <f>テーブル2[[#This Row],[Sheet]]&amp;TEXT(ROW()-64,"00")</f>
        <v>暖房120</v>
      </c>
    </row>
    <row r="185" spans="1:8" x14ac:dyDescent="0.4">
      <c r="A185" s="2">
        <f t="shared" si="9"/>
        <v>184</v>
      </c>
      <c r="B185" s="24" t="s">
        <v>227</v>
      </c>
      <c r="C185" s="24" t="str">
        <f>'option-elements'!B218&amp;"_"&amp;'option-elements'!C218</f>
        <v>暖房05_設計風量の入力</v>
      </c>
      <c r="D185" s="24" t="str">
        <f>'option-elements'!D185</f>
        <v>81.0</v>
      </c>
      <c r="F185" s="26"/>
      <c r="H185" s="84" t="str">
        <f>テーブル2[[#This Row],[Sheet]]&amp;TEXT(ROW()-64,"00")</f>
        <v>暖房121</v>
      </c>
    </row>
    <row r="186" spans="1:8" x14ac:dyDescent="0.4">
      <c r="A186" s="2">
        <f t="shared" si="9"/>
        <v>185</v>
      </c>
      <c r="B186" s="24" t="s">
        <v>227</v>
      </c>
      <c r="C186" s="24" t="str">
        <f>'option-elements'!B219&amp;"_"&amp;'option-elements'!C219</f>
        <v>_</v>
      </c>
      <c r="D186" s="24" t="str">
        <f>'option-elements'!D186</f>
        <v>91.0</v>
      </c>
      <c r="F186" s="26"/>
      <c r="H186" s="84" t="str">
        <f>テーブル2[[#This Row],[Sheet]]&amp;TEXT(ROW()-64,"00")</f>
        <v>暖房122</v>
      </c>
    </row>
    <row r="187" spans="1:8" x14ac:dyDescent="0.4">
      <c r="A187" s="2">
        <f t="shared" si="9"/>
        <v>186</v>
      </c>
      <c r="B187" s="24" t="s">
        <v>227</v>
      </c>
      <c r="C187" s="24" t="str">
        <f>'option-elements'!B220&amp;"_"&amp;'option-elements'!C220</f>
        <v>暖房05_設計風量</v>
      </c>
      <c r="D187" s="24" t="str">
        <f>'option-elements'!D187</f>
        <v>100</v>
      </c>
      <c r="F187" s="26"/>
      <c r="H187" s="84" t="str">
        <f>テーブル2[[#This Row],[Sheet]]&amp;TEXT(ROW()-64,"00")</f>
        <v>暖房123</v>
      </c>
    </row>
    <row r="188" spans="1:8" x14ac:dyDescent="0.4">
      <c r="A188" s="2">
        <f t="shared" si="9"/>
        <v>187</v>
      </c>
      <c r="B188" s="24" t="s">
        <v>227</v>
      </c>
      <c r="C188" s="24" t="str">
        <f>'option-elements'!B221&amp;"_"&amp;'option-elements'!C221</f>
        <v>冷房01_冷房方式</v>
      </c>
      <c r="D188" s="24" t="str">
        <f>'option-elements'!D188</f>
        <v>入力しない（規定値を用いる）</v>
      </c>
      <c r="F188" s="26"/>
      <c r="H188" s="84" t="str">
        <f>テーブル2[[#This Row],[Sheet]]&amp;TEXT(ROW()-64,"00")</f>
        <v>暖房124</v>
      </c>
    </row>
    <row r="189" spans="1:8" x14ac:dyDescent="0.4">
      <c r="A189" s="2">
        <f t="shared" si="9"/>
        <v>188</v>
      </c>
      <c r="B189" s="24" t="s">
        <v>227</v>
      </c>
      <c r="C189" s="24" t="str">
        <f>'option-elements'!B222&amp;"_"&amp;'option-elements'!C222</f>
        <v>_</v>
      </c>
      <c r="D189" s="24" t="str">
        <f>'option-elements'!D189</f>
        <v>入力する</v>
      </c>
      <c r="F189" s="26"/>
      <c r="H189" s="84" t="str">
        <f>テーブル2[[#This Row],[Sheet]]&amp;TEXT(ROW()-64,"00")</f>
        <v>暖房125</v>
      </c>
    </row>
    <row r="190" spans="1:8" x14ac:dyDescent="0.4">
      <c r="A190" s="2">
        <f t="shared" si="9"/>
        <v>189</v>
      </c>
      <c r="B190" s="24" t="s">
        <v>227</v>
      </c>
      <c r="C190" s="24" t="str">
        <f>'option-elements'!B223&amp;"_"&amp;'option-elements'!C223</f>
        <v>_</v>
      </c>
      <c r="D190" s="24">
        <f>'option-elements'!D190</f>
        <v>1</v>
      </c>
      <c r="F190" s="26"/>
      <c r="H190" s="84" t="str">
        <f>テーブル2[[#This Row],[Sheet]]&amp;TEXT(ROW()-64,"00")</f>
        <v>暖房126</v>
      </c>
    </row>
    <row r="191" spans="1:8" x14ac:dyDescent="0.4">
      <c r="A191" s="2">
        <f t="shared" si="9"/>
        <v>190</v>
      </c>
      <c r="B191" s="24" t="s">
        <v>227</v>
      </c>
      <c r="C191" s="24" t="str">
        <f>'option-elements'!B224&amp;"_"&amp;'option-elements'!C224</f>
        <v>冷房02_冷房設備機器の種類_主たる居室</v>
      </c>
      <c r="D191" s="24">
        <f>'option-elements'!D191</f>
        <v>2</v>
      </c>
      <c r="F191" s="26"/>
      <c r="H191" s="84" t="str">
        <f>テーブル2[[#This Row],[Sheet]]&amp;TEXT(ROW()-64,"00")</f>
        <v>暖房127</v>
      </c>
    </row>
    <row r="192" spans="1:8" x14ac:dyDescent="0.4">
      <c r="A192" s="2">
        <f t="shared" si="9"/>
        <v>191</v>
      </c>
      <c r="B192" s="24" t="s">
        <v>227</v>
      </c>
      <c r="C192" s="24" t="str">
        <f>'option-elements'!B231&amp;"_"&amp;'option-elements'!C225</f>
        <v>冷房03_</v>
      </c>
      <c r="D192" s="24">
        <f>'option-elements'!D192</f>
        <v>3</v>
      </c>
      <c r="F192" s="26"/>
      <c r="H192" s="84" t="str">
        <f>テーブル2[[#This Row],[Sheet]]&amp;TEXT(ROW()-64,"00")</f>
        <v>暖房128</v>
      </c>
    </row>
    <row r="193" spans="1:8" x14ac:dyDescent="0.4">
      <c r="A193" s="2">
        <f t="shared" ref="A193:A201" si="10">ROW()-1</f>
        <v>192</v>
      </c>
      <c r="B193" s="24" t="s">
        <v>227</v>
      </c>
      <c r="C193" s="24" t="str">
        <f>'option-elements'!B226&amp;"_"&amp;'option-elements'!C226</f>
        <v>_</v>
      </c>
      <c r="D193" s="24">
        <f>'option-elements'!D193</f>
        <v>4</v>
      </c>
      <c r="F193" s="26"/>
      <c r="H193" s="84" t="str">
        <f>テーブル2[[#This Row],[Sheet]]&amp;TEXT(ROW()-64,"00")</f>
        <v>暖房129</v>
      </c>
    </row>
    <row r="194" spans="1:8" x14ac:dyDescent="0.4">
      <c r="A194" s="2">
        <f t="shared" si="10"/>
        <v>193</v>
      </c>
      <c r="B194" s="24" t="s">
        <v>227</v>
      </c>
      <c r="C194" s="24" t="str">
        <f>'option-elements'!B227&amp;"_"&amp;'option-elements'!C227</f>
        <v>_</v>
      </c>
      <c r="D194" s="24">
        <f>'option-elements'!D194</f>
        <v>5</v>
      </c>
      <c r="F194" s="26"/>
      <c r="H194" s="84" t="str">
        <f>テーブル2[[#This Row],[Sheet]]&amp;TEXT(ROW()-64,"00")</f>
        <v>暖房130</v>
      </c>
    </row>
    <row r="195" spans="1:8" x14ac:dyDescent="0.4">
      <c r="A195" s="2">
        <f t="shared" si="10"/>
        <v>194</v>
      </c>
      <c r="B195" s="24" t="s">
        <v>227</v>
      </c>
      <c r="C195" s="24" t="e">
        <f>'option-elements'!#REF!&amp;"_"&amp;'option-elements'!C228</f>
        <v>#REF!</v>
      </c>
      <c r="D195" s="24" t="str">
        <f>'option-elements'!D195</f>
        <v>（その他の温水暖房機の名称）</v>
      </c>
      <c r="F195" s="26"/>
      <c r="H195" s="84" t="str">
        <f>テーブル2[[#This Row],[Sheet]]&amp;TEXT(ROW()-64,"00")</f>
        <v>暖房131</v>
      </c>
    </row>
    <row r="196" spans="1:8" x14ac:dyDescent="0.4">
      <c r="A196" s="2">
        <f t="shared" si="10"/>
        <v>195</v>
      </c>
      <c r="B196" s="24" t="s">
        <v>227</v>
      </c>
      <c r="C196" s="24" t="str">
        <f>'option-elements'!B229&amp;"_"&amp;'option-elements'!C229</f>
        <v>_</v>
      </c>
      <c r="D196" s="24" t="str">
        <f>'option-elements'!D196</f>
        <v>評価しない、または採用しない</v>
      </c>
      <c r="F196" s="26"/>
      <c r="H196" s="84" t="str">
        <f>テーブル2[[#This Row],[Sheet]]&amp;TEXT(ROW()-64,"00")</f>
        <v>暖房132</v>
      </c>
    </row>
    <row r="197" spans="1:8" x14ac:dyDescent="0.4">
      <c r="A197" s="2">
        <f t="shared" si="10"/>
        <v>196</v>
      </c>
      <c r="B197" s="24" t="s">
        <v>227</v>
      </c>
      <c r="C197" s="24" t="e">
        <f>'option-elements'!#REF!&amp;"_"&amp;'option-elements'!C231</f>
        <v>#REF!</v>
      </c>
      <c r="D197" s="24" t="str">
        <f>'option-elements'!D197</f>
        <v>採用する</v>
      </c>
      <c r="F197" s="26"/>
      <c r="H197" s="84" t="str">
        <f>テーブル2[[#This Row],[Sheet]]&amp;TEXT(ROW()-64,"00")</f>
        <v>暖房133</v>
      </c>
    </row>
    <row r="198" spans="1:8" x14ac:dyDescent="0.4">
      <c r="A198" s="2">
        <f t="shared" si="10"/>
        <v>197</v>
      </c>
      <c r="B198" s="24" t="s">
        <v>227</v>
      </c>
      <c r="C198" s="24" t="str">
        <f>'option-elements'!B238&amp;"_"&amp;'option-elements'!C232</f>
        <v>冷房04_</v>
      </c>
      <c r="D198" s="24" t="str">
        <f>'option-elements'!D198</f>
        <v>評価しない、または全てもしくは一部が断熱区画外である</v>
      </c>
      <c r="F198" s="26"/>
      <c r="H198" s="84" t="str">
        <f>テーブル2[[#This Row],[Sheet]]&amp;TEXT(ROW()-64,"00")</f>
        <v>暖房134</v>
      </c>
    </row>
    <row r="199" spans="1:8" x14ac:dyDescent="0.4">
      <c r="A199" s="2">
        <f t="shared" si="10"/>
        <v>198</v>
      </c>
      <c r="B199" s="24" t="s">
        <v>227</v>
      </c>
      <c r="C199" s="24" t="str">
        <f>'option-elements'!B233&amp;"_"&amp;'option-elements'!C233</f>
        <v>_</v>
      </c>
      <c r="D199" s="24" t="str">
        <f>'option-elements'!D199</f>
        <v>全て断熱区画内である</v>
      </c>
      <c r="F199" s="26"/>
      <c r="H199" s="84" t="str">
        <f>テーブル2[[#This Row],[Sheet]]&amp;TEXT(ROW()-64,"00")</f>
        <v>暖房135</v>
      </c>
    </row>
    <row r="200" spans="1:8" x14ac:dyDescent="0.4">
      <c r="A200" s="2">
        <f t="shared" si="10"/>
        <v>199</v>
      </c>
      <c r="B200" s="24" t="s">
        <v>227</v>
      </c>
      <c r="C200" s="24" t="str">
        <f>'option-elements'!B234&amp;"_"&amp;'option-elements'!C234</f>
        <v>_</v>
      </c>
      <c r="D200" s="24" t="str">
        <f>'option-elements'!D200</f>
        <v>ダクト式セントラル空調機（ヒートポンプ式熱源）</v>
      </c>
      <c r="F200" s="26"/>
      <c r="H200" s="84" t="str">
        <f>テーブル2[[#This Row],[Sheet]]&amp;TEXT(ROW()-64,"00")</f>
        <v>暖房136</v>
      </c>
    </row>
    <row r="201" spans="1:8" x14ac:dyDescent="0.4">
      <c r="A201" s="2">
        <f t="shared" si="10"/>
        <v>200</v>
      </c>
      <c r="B201" s="24" t="s">
        <v>227</v>
      </c>
      <c r="C201" s="24" t="str">
        <f>'option-elements'!B235&amp;"_"&amp;'option-elements'!C235</f>
        <v>_エネルギー消費効率の入力_その他の居室</v>
      </c>
      <c r="D201" s="24" t="str">
        <f>'option-elements'!D201</f>
        <v>評価しない、または全てもしくは一部が断熱区画外である</v>
      </c>
      <c r="F201" s="26"/>
      <c r="H201" s="84" t="str">
        <f>テーブル2[[#This Row],[Sheet]]&amp;TEXT(ROW()-64,"00")</f>
        <v>暖房137</v>
      </c>
    </row>
    <row r="202" spans="1:8" x14ac:dyDescent="0.4">
      <c r="A202" s="2">
        <f t="shared" ref="A202:A209" si="11">ROW()-1</f>
        <v>201</v>
      </c>
      <c r="B202" s="24" t="s">
        <v>227</v>
      </c>
      <c r="C202" s="24" t="str">
        <f>'option-elements'!B236&amp;"_"&amp;'option-elements'!C236</f>
        <v>_</v>
      </c>
      <c r="D202" s="24" t="str">
        <f>'option-elements'!D202</f>
        <v>全て断熱区画内である</v>
      </c>
      <c r="F202" s="26"/>
      <c r="H202" s="84" t="str">
        <f>テーブル2[[#This Row],[Sheet]]&amp;TEXT(ROW()-64,"00")</f>
        <v>暖房138</v>
      </c>
    </row>
    <row r="203" spans="1:8" x14ac:dyDescent="0.4">
      <c r="A203" s="2">
        <f t="shared" si="11"/>
        <v>202</v>
      </c>
      <c r="B203" s="24" t="s">
        <v>227</v>
      </c>
      <c r="C203" s="24" t="e">
        <f>'option-elements'!#REF!&amp;"_"&amp;'option-elements'!C238</f>
        <v>#REF!</v>
      </c>
      <c r="D203" s="24" t="str">
        <f>'option-elements'!D203</f>
        <v>採用しない</v>
      </c>
      <c r="F203" s="26"/>
      <c r="H203" s="84" t="str">
        <f>テーブル2[[#This Row],[Sheet]]&amp;TEXT(ROW()-64,"00")</f>
        <v>暖房139</v>
      </c>
    </row>
    <row r="204" spans="1:8" x14ac:dyDescent="0.4">
      <c r="A204" s="2">
        <f t="shared" si="11"/>
        <v>203</v>
      </c>
      <c r="B204" s="24" t="s">
        <v>227</v>
      </c>
      <c r="C204" s="24" t="str">
        <f>'option-elements'!B239&amp;"_"&amp;'option-elements'!C239</f>
        <v>_ダクトが通過する空間</v>
      </c>
      <c r="D204" s="24" t="str">
        <f>'option-elements'!D204</f>
        <v>採用する</v>
      </c>
      <c r="F204" s="26"/>
      <c r="H204" s="84" t="str">
        <f>テーブル2[[#This Row],[Sheet]]&amp;TEXT(ROW()-64,"00")</f>
        <v>暖房140</v>
      </c>
    </row>
    <row r="205" spans="1:8" x14ac:dyDescent="0.4">
      <c r="A205" s="2">
        <f t="shared" si="11"/>
        <v>204</v>
      </c>
      <c r="B205" s="24" t="s">
        <v>227</v>
      </c>
      <c r="C205" s="24" t="str">
        <f>'option-elements'!B240&amp;"_"&amp;'option-elements'!C240</f>
        <v>_</v>
      </c>
      <c r="D205" s="24" t="str">
        <f>'option-elements'!D205</f>
        <v>全般換気機能あり</v>
      </c>
      <c r="F205" s="26"/>
      <c r="H205" s="84" t="str">
        <f>テーブル2[[#This Row],[Sheet]]&amp;TEXT(ROW()-64,"00")</f>
        <v>暖房141</v>
      </c>
    </row>
    <row r="206" spans="1:8" x14ac:dyDescent="0.4">
      <c r="A206" s="2">
        <f t="shared" si="11"/>
        <v>205</v>
      </c>
      <c r="B206" s="24" t="s">
        <v>227</v>
      </c>
      <c r="C206" s="24" t="str">
        <f>'option-elements'!B241&amp;"_"&amp;'option-elements'!C241</f>
        <v>_VAV方式</v>
      </c>
      <c r="D206" s="24" t="str">
        <f>'option-elements'!D206</f>
        <v>全般換気機能なし</v>
      </c>
      <c r="F206" s="26"/>
      <c r="H206" s="84" t="str">
        <f>テーブル2[[#This Row],[Sheet]]&amp;TEXT(ROW()-64,"00")</f>
        <v>暖房142</v>
      </c>
    </row>
    <row r="207" spans="1:8" x14ac:dyDescent="0.4">
      <c r="A207" s="2">
        <f t="shared" si="11"/>
        <v>206</v>
      </c>
      <c r="B207" s="24" t="s">
        <v>227</v>
      </c>
      <c r="C207" s="24" t="str">
        <f>'option-elements'!B242&amp;"_"&amp;'option-elements'!C242</f>
        <v>_</v>
      </c>
      <c r="D207" s="24" t="str">
        <f>'option-elements'!D207</f>
        <v>入力しない（規定値を用いる）</v>
      </c>
      <c r="F207" s="26"/>
      <c r="H207" s="84" t="str">
        <f>テーブル2[[#This Row],[Sheet]]&amp;TEXT(ROW()-64,"00")</f>
        <v>暖房143</v>
      </c>
    </row>
    <row r="208" spans="1:8" x14ac:dyDescent="0.4">
      <c r="A208" s="2">
        <f t="shared" si="11"/>
        <v>207</v>
      </c>
      <c r="B208" s="24" t="s">
        <v>227</v>
      </c>
      <c r="C208" s="24" t="str">
        <f>'option-elements'!B243&amp;"_"&amp;'option-elements'!C243</f>
        <v>_全般換気機能</v>
      </c>
      <c r="D208" s="24" t="str">
        <f>'option-elements'!D208</f>
        <v>定格能力試験の値を入力する</v>
      </c>
      <c r="F208" s="26"/>
      <c r="H208" s="84" t="str">
        <f>テーブル2[[#This Row],[Sheet]]&amp;TEXT(ROW()-64,"00")</f>
        <v>暖房144</v>
      </c>
    </row>
    <row r="209" spans="1:8" x14ac:dyDescent="0.4">
      <c r="A209" s="2">
        <f t="shared" si="11"/>
        <v>208</v>
      </c>
      <c r="B209" s="24" t="s">
        <v>227</v>
      </c>
      <c r="C209" s="24" t="str">
        <f>'option-elements'!B244&amp;"_"&amp;'option-elements'!C244</f>
        <v>_</v>
      </c>
      <c r="D209" s="24" t="str">
        <f>'option-elements'!D209</f>
        <v>定格能力試験と中間能力試験の値を入力する</v>
      </c>
      <c r="F209" s="26"/>
      <c r="H209" s="84" t="str">
        <f>テーブル2[[#This Row],[Sheet]]&amp;TEXT(ROW()-64,"00")</f>
        <v>暖房145</v>
      </c>
    </row>
    <row r="210" spans="1:8" x14ac:dyDescent="0.4">
      <c r="A210" s="2">
        <f t="shared" ref="A210:A216" si="12">ROW()-1</f>
        <v>209</v>
      </c>
      <c r="B210" s="24" t="s">
        <v>227</v>
      </c>
      <c r="C210" s="24" t="str">
        <f>'option-elements'!B245&amp;"_"&amp;'option-elements'!C245</f>
        <v>_機器の仕様の入力</v>
      </c>
      <c r="D210" s="24">
        <f>'option-elements'!D210</f>
        <v>99</v>
      </c>
      <c r="F210" s="26"/>
      <c r="H210" s="84" t="str">
        <f>テーブル2[[#This Row],[Sheet]]&amp;TEXT(ROW()-64,"00")</f>
        <v>暖房146</v>
      </c>
    </row>
    <row r="211" spans="1:8" x14ac:dyDescent="0.4">
      <c r="A211" s="2">
        <f t="shared" si="12"/>
        <v>210</v>
      </c>
      <c r="B211" s="24" t="s">
        <v>227</v>
      </c>
      <c r="C211" s="24" t="str">
        <f>'option-elements'!B246&amp;"_"&amp;'option-elements'!C246</f>
        <v>_</v>
      </c>
      <c r="D211" s="24">
        <f>'option-elements'!D211</f>
        <v>99</v>
      </c>
      <c r="F211" s="26"/>
      <c r="H211" s="84" t="str">
        <f>テーブル2[[#This Row],[Sheet]]&amp;TEXT(ROW()-64,"00")</f>
        <v>暖房147</v>
      </c>
    </row>
    <row r="212" spans="1:8" x14ac:dyDescent="0.4">
      <c r="A212" s="2">
        <f t="shared" si="12"/>
        <v>211</v>
      </c>
      <c r="B212" s="24" t="s">
        <v>227</v>
      </c>
      <c r="C212" s="24" t="str">
        <f>'option-elements'!B247&amp;"_"&amp;'option-elements'!C247</f>
        <v>_</v>
      </c>
      <c r="D212" s="24">
        <f>'option-elements'!D212</f>
        <v>99</v>
      </c>
      <c r="F212" s="26"/>
      <c r="H212" s="84" t="str">
        <f>テーブル2[[#This Row],[Sheet]]&amp;TEXT(ROW()-64,"00")</f>
        <v>暖房148</v>
      </c>
    </row>
    <row r="213" spans="1:8" x14ac:dyDescent="0.4">
      <c r="A213" s="2">
        <f t="shared" si="12"/>
        <v>212</v>
      </c>
      <c r="B213" s="24" t="s">
        <v>227</v>
      </c>
      <c r="C213" s="24" t="str">
        <f>'option-elements'!B248&amp;"_"&amp;'option-elements'!C248</f>
        <v>_設計風量の入力</v>
      </c>
      <c r="D213" s="24">
        <f>'option-elements'!D213</f>
        <v>99</v>
      </c>
      <c r="F213" s="26"/>
      <c r="H213" s="84" t="str">
        <f>テーブル2[[#This Row],[Sheet]]&amp;TEXT(ROW()-64,"00")</f>
        <v>暖房149</v>
      </c>
    </row>
    <row r="214" spans="1:8" x14ac:dyDescent="0.4">
      <c r="A214" s="2">
        <f t="shared" si="12"/>
        <v>213</v>
      </c>
      <c r="B214" s="24" t="s">
        <v>227</v>
      </c>
      <c r="C214" s="24" t="str">
        <f>'option-elements'!B249&amp;"_"&amp;'option-elements'!C249</f>
        <v>_</v>
      </c>
      <c r="D214" s="24">
        <f>'option-elements'!D214</f>
        <v>99</v>
      </c>
      <c r="F214" s="26"/>
      <c r="H214" s="84" t="str">
        <f>テーブル2[[#This Row],[Sheet]]&amp;TEXT(ROW()-64,"00")</f>
        <v>暖房150</v>
      </c>
    </row>
    <row r="215" spans="1:8" x14ac:dyDescent="0.4">
      <c r="A215" s="2">
        <f t="shared" si="12"/>
        <v>214</v>
      </c>
      <c r="B215" s="24" t="s">
        <v>227</v>
      </c>
      <c r="C215" s="24" t="str">
        <f>'option-elements'!B250&amp;"_"&amp;'option-elements'!C250</f>
        <v>_設計風量</v>
      </c>
      <c r="D215" s="24">
        <f>'option-elements'!D215</f>
        <v>99</v>
      </c>
      <c r="F215" s="26"/>
      <c r="H215" s="84" t="str">
        <f>テーブル2[[#This Row],[Sheet]]&amp;TEXT(ROW()-64,"00")</f>
        <v>暖房151</v>
      </c>
    </row>
    <row r="216" spans="1:8" x14ac:dyDescent="0.4">
      <c r="A216" s="2">
        <f t="shared" si="12"/>
        <v>215</v>
      </c>
      <c r="B216" s="24" t="s">
        <v>227</v>
      </c>
      <c r="C216" s="24" t="str">
        <f>'option-elements'!B251&amp;"_"&amp;'option-elements'!C251</f>
        <v>換気01_換気設備の方式</v>
      </c>
      <c r="D216" s="24">
        <f>'option-elements'!D216</f>
        <v>99</v>
      </c>
      <c r="F216" s="26"/>
      <c r="H216" s="84" t="str">
        <f>テーブル2[[#This Row],[Sheet]]&amp;TEXT(ROW()-64,"00")</f>
        <v>暖房152</v>
      </c>
    </row>
    <row r="217" spans="1:8" x14ac:dyDescent="0.4">
      <c r="A217" s="2">
        <f t="shared" ref="A217:A220" si="13">ROW()-1</f>
        <v>216</v>
      </c>
      <c r="B217" s="24" t="s">
        <v>227</v>
      </c>
      <c r="C217" s="24" t="str">
        <f>'option-elements'!B256&amp;"_"&amp;'option-elements'!C252</f>
        <v>換気02_</v>
      </c>
      <c r="D217" s="24">
        <f>'option-elements'!D217</f>
        <v>99</v>
      </c>
      <c r="F217" s="26"/>
      <c r="H217" s="84" t="str">
        <f>テーブル2[[#This Row],[Sheet]]&amp;TEXT(ROW()-64,"00")</f>
        <v>暖房153</v>
      </c>
    </row>
    <row r="218" spans="1:8" x14ac:dyDescent="0.4">
      <c r="A218" s="2">
        <f t="shared" si="13"/>
        <v>217</v>
      </c>
      <c r="B218" s="24" t="s">
        <v>227</v>
      </c>
      <c r="C218" s="24" t="e">
        <f>'option-elements'!#REF!&amp;"_"&amp;'option-elements'!#REF!</f>
        <v>#REF!</v>
      </c>
      <c r="D218" s="24" t="str">
        <f>'option-elements'!D218</f>
        <v>入力しない（規定値を用いる）</v>
      </c>
      <c r="F218" s="26"/>
      <c r="H218" s="84" t="str">
        <f>テーブル2[[#This Row],[Sheet]]&amp;TEXT(ROW()-64,"00")</f>
        <v>暖房154</v>
      </c>
    </row>
    <row r="219" spans="1:8" x14ac:dyDescent="0.4">
      <c r="A219" s="2">
        <f t="shared" si="13"/>
        <v>218</v>
      </c>
      <c r="B219" s="24" t="s">
        <v>227</v>
      </c>
      <c r="C219" s="24" t="e">
        <f>'option-elements'!#REF!&amp;"_"&amp;'option-elements'!#REF!</f>
        <v>#REF!</v>
      </c>
      <c r="D219" s="24" t="str">
        <f>'option-elements'!D219</f>
        <v>入力する</v>
      </c>
      <c r="F219" s="26"/>
      <c r="H219" s="84" t="str">
        <f>テーブル2[[#This Row],[Sheet]]&amp;TEXT(ROW()-64,"00")</f>
        <v>暖房155</v>
      </c>
    </row>
    <row r="220" spans="1:8" x14ac:dyDescent="0.4">
      <c r="A220" s="2">
        <f t="shared" si="13"/>
        <v>219</v>
      </c>
      <c r="B220" s="24" t="s">
        <v>227</v>
      </c>
      <c r="C220" s="24" t="str">
        <f>'option-elements'!B262&amp;"_"&amp;'option-elements'!C253</f>
        <v>換気03_</v>
      </c>
      <c r="D220" s="24">
        <f>'option-elements'!D220</f>
        <v>99</v>
      </c>
      <c r="F220" s="26"/>
      <c r="H220" s="84" t="str">
        <f>テーブル2[[#This Row],[Sheet]]&amp;TEXT(ROW()-64,"00")</f>
        <v>暖房156</v>
      </c>
    </row>
  </sheetData>
  <phoneticPr fontId="1"/>
  <conditionalFormatting sqref="D1:D1048576">
    <cfRule type="duplicateValues" dxfId="0" priority="1"/>
  </conditionalFormatting>
  <pageMargins left="0.7" right="0.7" top="0.75" bottom="0.75" header="0.3" footer="0.3"/>
  <pageSetup paperSize="9" orientation="portrait" horizontalDpi="1200" verticalDpi="120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623CC-B8A1-476B-AF38-E7CC4E0885A4}">
  <sheetPr codeName="Sheet23"/>
  <dimension ref="B2:G13"/>
  <sheetViews>
    <sheetView workbookViewId="0"/>
    <sheetView workbookViewId="1"/>
  </sheetViews>
  <sheetFormatPr defaultRowHeight="16.5" x14ac:dyDescent="0.4"/>
  <cols>
    <col min="1" max="1" width="9" style="1"/>
    <col min="2" max="2" width="11" style="1" bestFit="1" customWidth="1"/>
    <col min="3" max="3" width="10.875" style="1" bestFit="1" customWidth="1"/>
    <col min="4" max="4" width="30.25" style="1" bestFit="1" customWidth="1"/>
    <col min="5" max="16384" width="9" style="1"/>
  </cols>
  <sheetData>
    <row r="2" spans="2:7" x14ac:dyDescent="0.4">
      <c r="B2" s="1" t="s">
        <v>7</v>
      </c>
      <c r="C2" s="1" t="s">
        <v>8</v>
      </c>
      <c r="D2" s="1" t="s">
        <v>9</v>
      </c>
    </row>
    <row r="4" spans="2:7" x14ac:dyDescent="0.4">
      <c r="C4" s="1" t="s">
        <v>21</v>
      </c>
      <c r="F4" s="1" t="s">
        <v>10</v>
      </c>
    </row>
    <row r="5" spans="2:7" x14ac:dyDescent="0.4">
      <c r="C5" s="1" t="s">
        <v>22</v>
      </c>
      <c r="F5" s="1" t="s">
        <v>12</v>
      </c>
    </row>
    <row r="6" spans="2:7" x14ac:dyDescent="0.4">
      <c r="C6" s="1" t="s">
        <v>23</v>
      </c>
      <c r="F6" s="1" t="s">
        <v>11</v>
      </c>
    </row>
    <row r="7" spans="2:7" x14ac:dyDescent="0.4">
      <c r="C7" s="1" t="s">
        <v>24</v>
      </c>
      <c r="F7" s="1" t="s">
        <v>13</v>
      </c>
    </row>
    <row r="8" spans="2:7" x14ac:dyDescent="0.4">
      <c r="C8" s="1" t="s">
        <v>25</v>
      </c>
      <c r="F8" s="1" t="s">
        <v>14</v>
      </c>
      <c r="G8" s="1" t="s">
        <v>15</v>
      </c>
    </row>
    <row r="9" spans="2:7" x14ac:dyDescent="0.4">
      <c r="C9" s="1" t="s">
        <v>26</v>
      </c>
      <c r="F9" s="1" t="s">
        <v>16</v>
      </c>
    </row>
    <row r="10" spans="2:7" x14ac:dyDescent="0.4">
      <c r="C10" s="1" t="s">
        <v>27</v>
      </c>
      <c r="F10" s="1" t="s">
        <v>17</v>
      </c>
    </row>
    <row r="11" spans="2:7" x14ac:dyDescent="0.4">
      <c r="C11" s="1" t="s">
        <v>28</v>
      </c>
      <c r="F11" s="1" t="s">
        <v>18</v>
      </c>
    </row>
    <row r="12" spans="2:7" x14ac:dyDescent="0.4">
      <c r="C12" s="1" t="s">
        <v>29</v>
      </c>
      <c r="F12" s="1" t="s">
        <v>20</v>
      </c>
    </row>
    <row r="13" spans="2:7" x14ac:dyDescent="0.4">
      <c r="C13" s="1" t="s">
        <v>30</v>
      </c>
      <c r="F13" s="1" t="s">
        <v>19</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593E-2613-4945-8FBA-FA3FBAD0B2C2}">
  <sheetPr codeName="Sheet12"/>
  <dimension ref="B2:G12"/>
  <sheetViews>
    <sheetView workbookViewId="0"/>
    <sheetView workbookViewId="1"/>
  </sheetViews>
  <sheetFormatPr defaultRowHeight="18.75" x14ac:dyDescent="0.4"/>
  <sheetData>
    <row r="2" spans="2:7" x14ac:dyDescent="0.4">
      <c r="B2" t="s">
        <v>160</v>
      </c>
    </row>
    <row r="3" spans="2:7" x14ac:dyDescent="0.4">
      <c r="C3" t="s">
        <v>161</v>
      </c>
    </row>
    <row r="4" spans="2:7" x14ac:dyDescent="0.4">
      <c r="D4" t="s">
        <v>162</v>
      </c>
      <c r="G4" t="s">
        <v>165</v>
      </c>
    </row>
    <row r="5" spans="2:7" x14ac:dyDescent="0.4">
      <c r="D5" t="s">
        <v>163</v>
      </c>
    </row>
    <row r="6" spans="2:7" x14ac:dyDescent="0.4">
      <c r="D6" t="s">
        <v>164</v>
      </c>
    </row>
    <row r="8" spans="2:7" x14ac:dyDescent="0.4">
      <c r="B8" t="s">
        <v>166</v>
      </c>
    </row>
    <row r="9" spans="2:7" x14ac:dyDescent="0.4">
      <c r="C9" t="s">
        <v>167</v>
      </c>
    </row>
    <row r="10" spans="2:7" x14ac:dyDescent="0.4">
      <c r="C10" t="s">
        <v>168</v>
      </c>
    </row>
    <row r="12" spans="2:7" x14ac:dyDescent="0.4">
      <c r="D12" t="s">
        <v>203</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F5368-73DC-4DD2-BCA9-477FE4C5E248}">
  <sheetPr codeName="Sheet1"/>
  <dimension ref="B1:D3"/>
  <sheetViews>
    <sheetView workbookViewId="0"/>
    <sheetView workbookViewId="1"/>
  </sheetViews>
  <sheetFormatPr defaultRowHeight="18.75" x14ac:dyDescent="0.4"/>
  <cols>
    <col min="1" max="1" width="9" style="28"/>
    <col min="2" max="2" width="9.25" style="27" bestFit="1" customWidth="1"/>
    <col min="3" max="16384" width="9" style="28"/>
  </cols>
  <sheetData>
    <row r="1" spans="2:4" x14ac:dyDescent="0.4">
      <c r="B1" s="27" t="s">
        <v>218</v>
      </c>
      <c r="C1" s="28" t="s">
        <v>219</v>
      </c>
      <c r="D1" s="28" t="s">
        <v>220</v>
      </c>
    </row>
    <row r="2" spans="2:4" x14ac:dyDescent="0.4">
      <c r="B2" s="27">
        <v>46162</v>
      </c>
      <c r="C2" s="28" t="s">
        <v>221</v>
      </c>
      <c r="D2" s="28" t="s">
        <v>222</v>
      </c>
    </row>
    <row r="3" spans="2:4" x14ac:dyDescent="0.4">
      <c r="B3" s="27">
        <v>46162</v>
      </c>
      <c r="C3" s="28" t="s">
        <v>255</v>
      </c>
      <c r="D3" s="28" t="s">
        <v>256</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804CC-9D5C-40F5-9551-E19DA31A087E}">
  <sheetPr codeName="Sheet2"/>
  <dimension ref="B1:R13"/>
  <sheetViews>
    <sheetView workbookViewId="0">
      <selection activeCell="O33" sqref="O33"/>
    </sheetView>
    <sheetView workbookViewId="1">
      <selection activeCell="D15" sqref="D15"/>
    </sheetView>
  </sheetViews>
  <sheetFormatPr defaultRowHeight="18.75" x14ac:dyDescent="0.4"/>
  <cols>
    <col min="8" max="18" width="9" style="90"/>
  </cols>
  <sheetData>
    <row r="1" spans="2:18" x14ac:dyDescent="0.4">
      <c r="H1" s="90" t="s">
        <v>226</v>
      </c>
      <c r="I1" s="90" t="s">
        <v>58</v>
      </c>
      <c r="J1" s="90" t="s">
        <v>227</v>
      </c>
      <c r="K1" s="90" t="s">
        <v>228</v>
      </c>
      <c r="L1" s="90" t="s">
        <v>229</v>
      </c>
      <c r="M1" s="90" t="s">
        <v>230</v>
      </c>
      <c r="N1" s="90" t="s">
        <v>231</v>
      </c>
      <c r="O1" s="90" t="s">
        <v>232</v>
      </c>
      <c r="P1" s="90" t="s">
        <v>233</v>
      </c>
      <c r="Q1" s="90" t="s">
        <v>234</v>
      </c>
      <c r="R1" s="90" t="s">
        <v>235</v>
      </c>
    </row>
    <row r="2" spans="2:18" x14ac:dyDescent="0.4">
      <c r="B2" t="s">
        <v>224</v>
      </c>
      <c r="C2" t="s">
        <v>236</v>
      </c>
      <c r="H2" s="90">
        <v>46162</v>
      </c>
      <c r="I2" s="90">
        <v>46163</v>
      </c>
      <c r="J2" s="90">
        <v>46163</v>
      </c>
      <c r="K2" s="90">
        <v>46164</v>
      </c>
      <c r="L2" s="90">
        <v>46164</v>
      </c>
      <c r="M2" s="90">
        <v>46164</v>
      </c>
      <c r="O2" s="90">
        <v>46164</v>
      </c>
      <c r="P2" s="90">
        <v>46164</v>
      </c>
    </row>
    <row r="3" spans="2:18" x14ac:dyDescent="0.4">
      <c r="D3" t="s">
        <v>225</v>
      </c>
    </row>
    <row r="8" spans="2:18" x14ac:dyDescent="0.4">
      <c r="B8" t="s">
        <v>467</v>
      </c>
      <c r="C8" t="s">
        <v>474</v>
      </c>
      <c r="D8" t="s">
        <v>473</v>
      </c>
    </row>
    <row r="9" spans="2:18" x14ac:dyDescent="0.4">
      <c r="C9" t="s">
        <v>476</v>
      </c>
      <c r="D9" t="s">
        <v>469</v>
      </c>
    </row>
    <row r="10" spans="2:18" x14ac:dyDescent="0.4">
      <c r="C10" t="s">
        <v>475</v>
      </c>
      <c r="D10" t="s">
        <v>470</v>
      </c>
    </row>
    <row r="11" spans="2:18" x14ac:dyDescent="0.4">
      <c r="C11" t="s">
        <v>475</v>
      </c>
      <c r="D11" t="s">
        <v>468</v>
      </c>
    </row>
    <row r="12" spans="2:18" x14ac:dyDescent="0.4">
      <c r="C12" t="s">
        <v>475</v>
      </c>
      <c r="D12" t="s">
        <v>471</v>
      </c>
    </row>
    <row r="13" spans="2:18" x14ac:dyDescent="0.4">
      <c r="C13" t="s">
        <v>477</v>
      </c>
      <c r="D13" t="s">
        <v>472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378</vt:i4>
      </vt:variant>
    </vt:vector>
  </HeadingPairs>
  <TitlesOfParts>
    <vt:vector size="395" baseType="lpstr">
      <vt:lpstr>01_基本情報</vt:lpstr>
      <vt:lpstr>02_外皮</vt:lpstr>
      <vt:lpstr>03_暖房</vt:lpstr>
      <vt:lpstr>04_冷房</vt:lpstr>
      <vt:lpstr>05_換気</vt:lpstr>
      <vt:lpstr>06_熱交換</vt:lpstr>
      <vt:lpstr>07_給湯</vt:lpstr>
      <vt:lpstr>08_照明</vt:lpstr>
      <vt:lpstr>09_太陽光</vt:lpstr>
      <vt:lpstr>10_太陽熱</vt:lpstr>
      <vt:lpstr>11_コージェネ</vt:lpstr>
      <vt:lpstr>option-elements</vt:lpstr>
      <vt:lpstr>Rules</vt:lpstr>
      <vt:lpstr>用語</vt:lpstr>
      <vt:lpstr>予備</vt:lpstr>
      <vt:lpstr>忘備録</vt:lpstr>
      <vt:lpstr>工程計画</vt:lpstr>
      <vt:lpstr>外皮_外気が経由する床下の面積の割合</vt:lpstr>
      <vt:lpstr>外皮_外皮性能の評価方法</vt:lpstr>
      <vt:lpstr>外皮_外皮平均熱貫流率</vt:lpstr>
      <vt:lpstr>外皮_外皮面積の合計</vt:lpstr>
      <vt:lpstr>外皮_床下空間の断熱</vt:lpstr>
      <vt:lpstr>外皮_床下空間を経由して外気を導入する換気方式の利用</vt:lpstr>
      <vt:lpstr>外皮_暖房期の平均日射熱取得率</vt:lpstr>
      <vt:lpstr>外皮_蓄熱の利用</vt:lpstr>
      <vt:lpstr>外皮_通風の利用_その他の居室</vt:lpstr>
      <vt:lpstr>外皮_通風の利用_主たる居室</vt:lpstr>
      <vt:lpstr>外皮_冷房期の平均日射熱取得率</vt:lpstr>
      <vt:lpstr>外皮01</vt:lpstr>
      <vt:lpstr>外皮02</vt:lpstr>
      <vt:lpstr>外皮03</vt:lpstr>
      <vt:lpstr>外皮04</vt:lpstr>
      <vt:lpstr>外皮05</vt:lpstr>
      <vt:lpstr>外皮06</vt:lpstr>
      <vt:lpstr>外皮07</vt:lpstr>
      <vt:lpstr>外皮08</vt:lpstr>
      <vt:lpstr>外皮09</vt:lpstr>
      <vt:lpstr>外皮10</vt:lpstr>
      <vt:lpstr>外皮11</vt:lpstr>
      <vt:lpstr>換気_温度交換効率</vt:lpstr>
      <vt:lpstr>換気_温度交換効率の補正係数の入力</vt:lpstr>
      <vt:lpstr>換気_換気回数</vt:lpstr>
      <vt:lpstr>換気_換気設備の方式</vt:lpstr>
      <vt:lpstr>換気_給気と排気の比率による温度交換効率の補正係数</vt:lpstr>
      <vt:lpstr>換気_省エネルギー手法</vt:lpstr>
      <vt:lpstr>換気_第一種換気設備の有効換気量率</vt:lpstr>
      <vt:lpstr>換気_第一種換気設備の有効換気量率の入力</vt:lpstr>
      <vt:lpstr>換気_熱交換型換気設備</vt:lpstr>
      <vt:lpstr>換気_排気過多時における住宅外皮経由の漏気による温度交換効率の補正係数</vt:lpstr>
      <vt:lpstr>換気_比消費電力</vt:lpstr>
      <vt:lpstr>換気_比消費電力の入力</vt:lpstr>
      <vt:lpstr>換気01</vt:lpstr>
      <vt:lpstr>換気02</vt:lpstr>
      <vt:lpstr>換気03</vt:lpstr>
      <vt:lpstr>換気04</vt:lpstr>
      <vt:lpstr>換気05</vt:lpstr>
      <vt:lpstr>換気06</vt:lpstr>
      <vt:lpstr>換気07</vt:lpstr>
      <vt:lpstr>基本_その他の居室の有無</vt:lpstr>
      <vt:lpstr>基本_居室の構成</vt:lpstr>
      <vt:lpstr>基本_住戸の評価方法</vt:lpstr>
      <vt:lpstr>基本_住宅タイプの名称</vt:lpstr>
      <vt:lpstr>基本_住宅の建て方</vt:lpstr>
      <vt:lpstr>基本_床面積</vt:lpstr>
      <vt:lpstr>基本_地域の区分</vt:lpstr>
      <vt:lpstr>基本_入力責任者</vt:lpstr>
      <vt:lpstr>基本_年間の日射地域区分</vt:lpstr>
      <vt:lpstr>基本_年間の日射地域区分の指定</vt:lpstr>
      <vt:lpstr>基本_非居室の有無</vt:lpstr>
      <vt:lpstr>基本01</vt:lpstr>
      <vt:lpstr>基本02</vt:lpstr>
      <vt:lpstr>基本03</vt:lpstr>
      <vt:lpstr>基本04</vt:lpstr>
      <vt:lpstr>基本05</vt:lpstr>
      <vt:lpstr>基本06</vt:lpstr>
      <vt:lpstr>基本07</vt:lpstr>
      <vt:lpstr>基本08</vt:lpstr>
      <vt:lpstr>基本09</vt:lpstr>
      <vt:lpstr>基本10</vt:lpstr>
      <vt:lpstr>基本11</vt:lpstr>
      <vt:lpstr>基本12</vt:lpstr>
      <vt:lpstr>基本13</vt:lpstr>
      <vt:lpstr>照明_その他の居室の照明設備</vt:lpstr>
      <vt:lpstr>照明_主たる居室の照明設備</vt:lpstr>
      <vt:lpstr>照明_照明器具の種類_その他の居室</vt:lpstr>
      <vt:lpstr>照明_照明器具の種類_主たる居室</vt:lpstr>
      <vt:lpstr>照明_照明器具の種類_非居室</vt:lpstr>
      <vt:lpstr>照明_多灯分散照明方式_主たる居室</vt:lpstr>
      <vt:lpstr>照明_調光が可能な制御_その他の居室</vt:lpstr>
      <vt:lpstr>照明_調光が可能な制御_主たる居室</vt:lpstr>
      <vt:lpstr>照明_非居室の照明設備</vt:lpstr>
      <vt:lpstr>照明01</vt:lpstr>
      <vt:lpstr>照明02</vt:lpstr>
      <vt:lpstr>照明03</vt:lpstr>
      <vt:lpstr>照明04</vt:lpstr>
      <vt:lpstr>照明05</vt:lpstr>
      <vt:lpstr>照明06</vt:lpstr>
      <vt:lpstr>照明07</vt:lpstr>
      <vt:lpstr>照明08</vt:lpstr>
      <vt:lpstr>照明09</vt:lpstr>
      <vt:lpstr>太陽光_パネルの設置方位角_パネル1</vt:lpstr>
      <vt:lpstr>太陽光_パネルの設置方位角_パネル2</vt:lpstr>
      <vt:lpstr>太陽光_パネルの設置方位角_パネル3</vt:lpstr>
      <vt:lpstr>太陽光_パネル設置傾斜角_パネル1</vt:lpstr>
      <vt:lpstr>太陽光_パネル設置傾斜角_パネル2</vt:lpstr>
      <vt:lpstr>太陽光_パネル設置傾斜角_パネル3</vt:lpstr>
      <vt:lpstr>太陽光_パワーコンディショナの定格負荷効率</vt:lpstr>
      <vt:lpstr>太陽光_パワーコンディショナの定格負荷効率の入力</vt:lpstr>
      <vt:lpstr>太陽光_太陽光発電設備</vt:lpstr>
      <vt:lpstr>太陽光_太陽電池アレイのシステム容量_パネル1</vt:lpstr>
      <vt:lpstr>太陽光_太陽電池アレイのシステム容量_パネル2</vt:lpstr>
      <vt:lpstr>太陽光_太陽電池アレイのシステム容量_パネル3</vt:lpstr>
      <vt:lpstr>太陽光_太陽電池アレイの種類_パネル1</vt:lpstr>
      <vt:lpstr>太陽光_太陽電池アレイの種類_パネル2</vt:lpstr>
      <vt:lpstr>太陽光_太陽電池アレイの種類_パネル3</vt:lpstr>
      <vt:lpstr>太陽光_太陽電池アレイ設置方式_パネル1</vt:lpstr>
      <vt:lpstr>太陽光_太陽電池アレイ設置方式_パネル2</vt:lpstr>
      <vt:lpstr>太陽光_太陽電池アレイ設置方式_パネル3</vt:lpstr>
      <vt:lpstr>太陽光_発電の評価</vt:lpstr>
      <vt:lpstr>太陽光_方位の異なるパネルの面数</vt:lpstr>
      <vt:lpstr>太陽光01</vt:lpstr>
      <vt:lpstr>太陽光02</vt:lpstr>
      <vt:lpstr>太陽光03</vt:lpstr>
      <vt:lpstr>太陽光04</vt:lpstr>
      <vt:lpstr>太陽光05</vt:lpstr>
      <vt:lpstr>太陽光06</vt:lpstr>
      <vt:lpstr>太陽光07</vt:lpstr>
      <vt:lpstr>太陽光08</vt:lpstr>
      <vt:lpstr>太陽光09</vt:lpstr>
      <vt:lpstr>太陽光10</vt:lpstr>
      <vt:lpstr>太陽光11</vt:lpstr>
      <vt:lpstr>太陽光12</vt:lpstr>
      <vt:lpstr>太陽光13</vt:lpstr>
      <vt:lpstr>太陽光14</vt:lpstr>
      <vt:lpstr>太陽光15</vt:lpstr>
      <vt:lpstr>太陽光16</vt:lpstr>
      <vt:lpstr>太陽光17</vt:lpstr>
      <vt:lpstr>太陽光18</vt:lpstr>
      <vt:lpstr>太陽光19</vt:lpstr>
      <vt:lpstr>太陽光20</vt:lpstr>
      <vt:lpstr>太陽熱_ソーラーシステムの指定</vt:lpstr>
      <vt:lpstr>太陽熱_液体集熱式太陽熱利用設備</vt:lpstr>
      <vt:lpstr>太陽熱_開放形太陽熱温水器の指定</vt:lpstr>
      <vt:lpstr>太陽熱_基準循環流量</vt:lpstr>
      <vt:lpstr>太陽熱_機外静圧をゼロとした時の空気搬送ファンの風量</vt:lpstr>
      <vt:lpstr>太陽熱_給湯接続方式の種類_ソーラーシステム</vt:lpstr>
      <vt:lpstr>太陽熱_給湯接続方式の種類_開放形太陽熱温水器</vt:lpstr>
      <vt:lpstr>太陽熱_給湯接続方式の種類_密閉形太陽熱温水器_直圧式</vt:lpstr>
      <vt:lpstr>太陽熱_給湯部のタンク容量</vt:lpstr>
      <vt:lpstr>太陽熱_空気集熱式太陽熱利用設備</vt:lpstr>
      <vt:lpstr>太陽熱_空気搬送ファンの自立運転用太陽光発電装置</vt:lpstr>
      <vt:lpstr>太陽熱_空気搬送ファンの種別</vt:lpstr>
      <vt:lpstr>太陽熱_集熱した熱の給湯への利用</vt:lpstr>
      <vt:lpstr>太陽熱_集熱器の集熱効率特性線図一次近似式の傾き_集熱器群その1</vt:lpstr>
      <vt:lpstr>太陽熱_集熱器の集熱効率特性線図一次近似式の傾き_集熱器群その2</vt:lpstr>
      <vt:lpstr>太陽熱_集熱器の集熱効率特性線図一次近似式の傾き_集熱器群その3</vt:lpstr>
      <vt:lpstr>太陽熱_集熱器の集熱効率特性線図一次近似式の切片_集熱器群その1</vt:lpstr>
      <vt:lpstr>太陽熱_集熱器の集熱効率特性線図一次近似式の切片_集熱器群その2</vt:lpstr>
      <vt:lpstr>太陽熱_集熱器の集熱効率特性線図一次近似式の切片_集熱器群その3</vt:lpstr>
      <vt:lpstr>太陽熱_集熱器の集熱性能試験時における単位面積当たりの空気の質量流量_集熱器群その1</vt:lpstr>
      <vt:lpstr>太陽熱_集熱器の集熱性能試験時における単位面積当たりの空気の質量流量_集熱器群その2</vt:lpstr>
      <vt:lpstr>太陽熱_集熱器の集熱性能試験時における単位面積当たりの空気の質量流量_集熱器群その3</vt:lpstr>
      <vt:lpstr>太陽熱_集熱器群の傾斜角_集熱器群その1</vt:lpstr>
      <vt:lpstr>太陽熱_集熱器群の傾斜角_集熱器群その2</vt:lpstr>
      <vt:lpstr>太陽熱_集熱器群の傾斜角_集熱器群その3</vt:lpstr>
      <vt:lpstr>太陽熱_集熱器群の仕様の入力_集熱器群その1</vt:lpstr>
      <vt:lpstr>太陽熱_集熱器群の仕様の入力_集熱器群その2</vt:lpstr>
      <vt:lpstr>太陽熱_集熱器群の仕様の入力_集熱器群その3</vt:lpstr>
      <vt:lpstr>太陽熱_集熱器群の数</vt:lpstr>
      <vt:lpstr>太陽熱_集熱器群の面積_集熱器群その1</vt:lpstr>
      <vt:lpstr>太陽熱_集熱器群の面積_集熱器群その2</vt:lpstr>
      <vt:lpstr>太陽熱_集熱器群の面積_集熱器群その3</vt:lpstr>
      <vt:lpstr>太陽熱_集熱後の空気を供給する空間</vt:lpstr>
      <vt:lpstr>太陽熱_集熱後の空気を供給する床下の面積の割合</vt:lpstr>
      <vt:lpstr>太陽熱_集熱配管の線熱通過率</vt:lpstr>
      <vt:lpstr>太陽熱_集熱部の設置傾斜角</vt:lpstr>
      <vt:lpstr>太陽熱_集熱部の設置方位角</vt:lpstr>
      <vt:lpstr>太陽熱_集熱部の方位角</vt:lpstr>
      <vt:lpstr>太陽熱_集熱部効率係数_b0</vt:lpstr>
      <vt:lpstr>太陽熱_集熱部総面積</vt:lpstr>
      <vt:lpstr>太陽熱_集熱部損失係数_b1</vt:lpstr>
      <vt:lpstr>太陽熱_循環ポンプの自立運転用太陽光発電装置</vt:lpstr>
      <vt:lpstr>太陽熱_循環ポンプ集熱判定時電力</vt:lpstr>
      <vt:lpstr>太陽熱_循環ポンプ連続運転時電力</vt:lpstr>
      <vt:lpstr>太陽熱_床下空間の断熱</vt:lpstr>
      <vt:lpstr>太陽熱_設備の種類</vt:lpstr>
      <vt:lpstr>太陽熱_太陽熱用水栓</vt:lpstr>
      <vt:lpstr>太陽熱_蓄熱タンク容量</vt:lpstr>
      <vt:lpstr>太陽熱_蓄熱槽熱損失係数</vt:lpstr>
      <vt:lpstr>太陽熱_貯湯量</vt:lpstr>
      <vt:lpstr>太陽熱_熱交換器伝熱係数</vt:lpstr>
      <vt:lpstr>太陽熱_熱媒の定圧比熱</vt:lpstr>
      <vt:lpstr>太陽熱_品番</vt:lpstr>
      <vt:lpstr>太陽熱_密閉形太陽熱温水器の指定</vt:lpstr>
      <vt:lpstr>太陽熱_有効出湯効率</vt:lpstr>
      <vt:lpstr>太陽熱01</vt:lpstr>
      <vt:lpstr>太陽熱02</vt:lpstr>
      <vt:lpstr>太陽熱03</vt:lpstr>
      <vt:lpstr>太陽熱04</vt:lpstr>
      <vt:lpstr>太陽熱05</vt:lpstr>
      <vt:lpstr>太陽熱06</vt:lpstr>
      <vt:lpstr>太陽熱07</vt:lpstr>
      <vt:lpstr>太陽熱08</vt:lpstr>
      <vt:lpstr>太陽熱09</vt:lpstr>
      <vt:lpstr>太陽熱10</vt:lpstr>
      <vt:lpstr>太陽熱11</vt:lpstr>
      <vt:lpstr>太陽熱12</vt:lpstr>
      <vt:lpstr>太陽熱13</vt:lpstr>
      <vt:lpstr>太陽熱14</vt:lpstr>
      <vt:lpstr>太陽熱15</vt:lpstr>
      <vt:lpstr>太陽熱16</vt:lpstr>
      <vt:lpstr>太陽熱17</vt:lpstr>
      <vt:lpstr>太陽熱18</vt:lpstr>
      <vt:lpstr>太陽熱19</vt:lpstr>
      <vt:lpstr>太陽熱20</vt:lpstr>
      <vt:lpstr>太陽熱21</vt:lpstr>
      <vt:lpstr>太陽熱22</vt:lpstr>
      <vt:lpstr>太陽熱23</vt:lpstr>
      <vt:lpstr>太陽熱24</vt:lpstr>
      <vt:lpstr>太陽熱25</vt:lpstr>
      <vt:lpstr>太陽熱26</vt:lpstr>
      <vt:lpstr>太陽熱27</vt:lpstr>
      <vt:lpstr>太陽熱28</vt:lpstr>
      <vt:lpstr>太陽熱29</vt:lpstr>
      <vt:lpstr>太陽熱30</vt:lpstr>
      <vt:lpstr>太陽熱31</vt:lpstr>
      <vt:lpstr>太陽熱32</vt:lpstr>
      <vt:lpstr>太陽熱33</vt:lpstr>
      <vt:lpstr>太陽熱34</vt:lpstr>
      <vt:lpstr>太陽熱35</vt:lpstr>
      <vt:lpstr>太陽熱36</vt:lpstr>
      <vt:lpstr>太陽熱37</vt:lpstr>
      <vt:lpstr>太陽熱38</vt:lpstr>
      <vt:lpstr>太陽熱39</vt:lpstr>
      <vt:lpstr>太陽熱40</vt:lpstr>
      <vt:lpstr>太陽熱41</vt:lpstr>
      <vt:lpstr>太陽熱42</vt:lpstr>
      <vt:lpstr>太陽熱43</vt:lpstr>
      <vt:lpstr>太陽熱44</vt:lpstr>
      <vt:lpstr>太陽熱45</vt:lpstr>
      <vt:lpstr>太陽熱46</vt:lpstr>
      <vt:lpstr>太陽熱47</vt:lpstr>
      <vt:lpstr>太陽熱48</vt:lpstr>
      <vt:lpstr>太陽熱49</vt:lpstr>
      <vt:lpstr>太陽熱50</vt:lpstr>
      <vt:lpstr>太陽熱51</vt:lpstr>
      <vt:lpstr>太陽熱52</vt:lpstr>
      <vt:lpstr>太陽熱53</vt:lpstr>
      <vt:lpstr>太陽熱54</vt:lpstr>
      <vt:lpstr>太陽熱55</vt:lpstr>
      <vt:lpstr>暖房_VAV方式</vt:lpstr>
      <vt:lpstr>暖房_エネルギー消費効率の区分_その他の居室</vt:lpstr>
      <vt:lpstr>暖房_エネルギー消費効率の区分_主たる居室</vt:lpstr>
      <vt:lpstr>暖房_エネルギー消費効率の入力</vt:lpstr>
      <vt:lpstr>暖房_エネルギー消費効率の入力_その他の居室</vt:lpstr>
      <vt:lpstr>暖房_エネルギー消費効率の入力_主たる居室</vt:lpstr>
      <vt:lpstr>暖房_その他の温水暖房機の名称</vt:lpstr>
      <vt:lpstr>暖房_その他の暖房設備機器の名称_その他の居室</vt:lpstr>
      <vt:lpstr>暖房_その他の暖房設備機器の名称_主たる居室</vt:lpstr>
      <vt:lpstr>暖房_ダクトが通過する空間</vt:lpstr>
      <vt:lpstr>暖房_温水暖房機の種類</vt:lpstr>
      <vt:lpstr>暖房_仮想床の床面積を除いた敷設率_主たる居室</vt:lpstr>
      <vt:lpstr>暖房_仮想床の床面積を除いた敷設率の入力_主たる居室</vt:lpstr>
      <vt:lpstr>暖房_機器の仕様の入力</vt:lpstr>
      <vt:lpstr>暖房_小能力時高効率型コンプレッサー_その他の居室</vt:lpstr>
      <vt:lpstr>暖房_小能力時高効率型コンプレッサー_主たる居室</vt:lpstr>
      <vt:lpstr>暖房_上面放熱率_床の断熱_その他の居室</vt:lpstr>
      <vt:lpstr>暖房_上面放熱率_床の断熱_主たる居室</vt:lpstr>
      <vt:lpstr>暖房_設計風量</vt:lpstr>
      <vt:lpstr>暖房_設計風量の入力</vt:lpstr>
      <vt:lpstr>暖房_全般換気機能</vt:lpstr>
      <vt:lpstr>暖房_断熱配管</vt:lpstr>
      <vt:lpstr>暖房_断熱配管_その他の居室</vt:lpstr>
      <vt:lpstr>暖房_断熱配管_主たる居室</vt:lpstr>
      <vt:lpstr>暖房_暖房設備機器の種類</vt:lpstr>
      <vt:lpstr>暖房_暖房設備機器または放熱器の種類_その他の居室</vt:lpstr>
      <vt:lpstr>暖房_暖房設備機器または放熱器の種類_主たる居室</vt:lpstr>
      <vt:lpstr>暖房_暖房方式</vt:lpstr>
      <vt:lpstr>暖房_中間暖房能力試験_室内側送風機の消費電力</vt:lpstr>
      <vt:lpstr>暖房_中間暖房能力試験_消費電力</vt:lpstr>
      <vt:lpstr>暖房_中間暖房能力試験_能力</vt:lpstr>
      <vt:lpstr>暖房_中間暖房能力試験_風量</vt:lpstr>
      <vt:lpstr>暖房_低出力モード_その他の居室</vt:lpstr>
      <vt:lpstr>暖房_低出力モード_主たる居室</vt:lpstr>
      <vt:lpstr>暖房_定格暖房能力試験_室内側送風機の消費電力</vt:lpstr>
      <vt:lpstr>暖房_定格暖房能力試験_消費電力</vt:lpstr>
      <vt:lpstr>暖房_定格暖房能力試験_能力</vt:lpstr>
      <vt:lpstr>暖房_定格暖房能力試験_風量</vt:lpstr>
      <vt:lpstr>暖房_定格能力におけるエネルギー消費効率</vt:lpstr>
      <vt:lpstr>暖房_定格能力におけるエネルギー消費効率_その他の居室</vt:lpstr>
      <vt:lpstr>暖房_定格能力におけるエネルギー消費効率_主たる居室</vt:lpstr>
      <vt:lpstr>暖房_定常時消費電力_その他の居室</vt:lpstr>
      <vt:lpstr>暖房_定常時消費電力_主たる居室</vt:lpstr>
      <vt:lpstr>暖房_点火時消費電力量_その他の居室</vt:lpstr>
      <vt:lpstr>暖房_点火時消費電力量_主たる居室</vt:lpstr>
      <vt:lpstr>暖房_熱交換器タイプ</vt:lpstr>
      <vt:lpstr>暖房_熱交換器タイプの入力</vt:lpstr>
      <vt:lpstr>暖房_熱効率_その他の居室</vt:lpstr>
      <vt:lpstr>暖房_熱効率_主たる居室</vt:lpstr>
      <vt:lpstr>暖房_熱出力_その他の居室</vt:lpstr>
      <vt:lpstr>暖房_熱出力_主たる居室</vt:lpstr>
      <vt:lpstr>暖房_配管が通過する空間</vt:lpstr>
      <vt:lpstr>暖房_敷設率_その他の居室</vt:lpstr>
      <vt:lpstr>暖房_敷設率_主たる居室</vt:lpstr>
      <vt:lpstr>暖房_敷設率の入力_その他の居室</vt:lpstr>
      <vt:lpstr>暖房_敷設率の入力_主たる居室</vt:lpstr>
      <vt:lpstr>暖房01</vt:lpstr>
      <vt:lpstr>暖房02</vt:lpstr>
      <vt:lpstr>暖房03</vt:lpstr>
      <vt:lpstr>暖房04</vt:lpstr>
      <vt:lpstr>暖房05</vt:lpstr>
      <vt:lpstr>暖房06</vt:lpstr>
      <vt:lpstr>暖房07</vt:lpstr>
      <vt:lpstr>暖房08</vt:lpstr>
      <vt:lpstr>暖房09</vt:lpstr>
      <vt:lpstr>暖房10</vt:lpstr>
      <vt:lpstr>暖房11</vt:lpstr>
      <vt:lpstr>暖房12</vt:lpstr>
      <vt:lpstr>暖房13</vt:lpstr>
      <vt:lpstr>暖房14</vt:lpstr>
      <vt:lpstr>暖房15</vt:lpstr>
      <vt:lpstr>暖房16</vt:lpstr>
      <vt:lpstr>暖房17</vt:lpstr>
      <vt:lpstr>暖房18</vt:lpstr>
      <vt:lpstr>暖房19</vt:lpstr>
      <vt:lpstr>暖房20</vt:lpstr>
      <vt:lpstr>暖房21</vt:lpstr>
      <vt:lpstr>暖房22</vt:lpstr>
      <vt:lpstr>暖房23</vt:lpstr>
      <vt:lpstr>暖房24</vt:lpstr>
      <vt:lpstr>暖房25</vt:lpstr>
      <vt:lpstr>暖房26</vt:lpstr>
      <vt:lpstr>暖房27</vt:lpstr>
      <vt:lpstr>暖房28</vt:lpstr>
      <vt:lpstr>暖房29</vt:lpstr>
      <vt:lpstr>暖房30</vt:lpstr>
      <vt:lpstr>暖房31</vt:lpstr>
      <vt:lpstr>暖房32</vt:lpstr>
      <vt:lpstr>暖房33</vt:lpstr>
      <vt:lpstr>暖房34</vt:lpstr>
      <vt:lpstr>暖房35</vt:lpstr>
      <vt:lpstr>暖房36</vt:lpstr>
      <vt:lpstr>暖房37</vt:lpstr>
      <vt:lpstr>暖房38</vt:lpstr>
      <vt:lpstr>暖房39</vt:lpstr>
      <vt:lpstr>暖房40</vt:lpstr>
      <vt:lpstr>暖房41</vt:lpstr>
      <vt:lpstr>暖房42</vt:lpstr>
      <vt:lpstr>暖房43</vt:lpstr>
      <vt:lpstr>暖房44</vt:lpstr>
      <vt:lpstr>暖房45</vt:lpstr>
      <vt:lpstr>暖房46</vt:lpstr>
      <vt:lpstr>暖房47</vt:lpstr>
      <vt:lpstr>暖房48</vt:lpstr>
      <vt:lpstr>暖房49</vt:lpstr>
      <vt:lpstr>暖房50</vt:lpstr>
      <vt:lpstr>暖房51</vt:lpstr>
      <vt:lpstr>暖房52</vt:lpstr>
      <vt:lpstr>暖房53</vt:lpstr>
      <vt:lpstr>暖房54</vt:lpstr>
      <vt:lpstr>暖房55</vt:lpstr>
      <vt:lpstr>暖房56</vt:lpstr>
      <vt:lpstr>熱交換01</vt:lpstr>
      <vt:lpstr>熱交換02</vt:lpstr>
      <vt:lpstr>熱交換03</vt:lpstr>
      <vt:lpstr>熱交換04</vt:lpstr>
      <vt:lpstr>熱交換05</vt:lpstr>
      <vt:lpstr>冷房_VAV方式</vt:lpstr>
      <vt:lpstr>冷房_エネルギー消費効率の入力_その他の居室</vt:lpstr>
      <vt:lpstr>冷房_エネルギー消費効率の入力_主たる居室</vt:lpstr>
      <vt:lpstr>冷房_その他の冷房設備機器の名称_その他の居室</vt:lpstr>
      <vt:lpstr>冷房_その他の冷房設備機器の名称_主たる居室</vt:lpstr>
      <vt:lpstr>冷房_ダクトが通過する空間</vt:lpstr>
      <vt:lpstr>冷房_機器の仕様の入力</vt:lpstr>
      <vt:lpstr>冷房_設計風量</vt:lpstr>
      <vt:lpstr>冷房_設計風量の入力</vt:lpstr>
      <vt:lpstr>冷房_全般換気機能</vt:lpstr>
      <vt:lpstr>冷房_冷房設備機器の種類</vt:lpstr>
      <vt:lpstr>冷房_冷房設備機器の種類_その他の居室</vt:lpstr>
      <vt:lpstr>冷房_冷房設備機器の種類_主たる居室</vt:lpstr>
      <vt:lpstr>冷房_冷房方式</vt:lpstr>
      <vt:lpstr>冷房01</vt:lpstr>
      <vt:lpstr>冷房02</vt:lpstr>
      <vt:lpstr>冷房03</vt:lpstr>
      <vt:lpstr>冷房04</vt:lpstr>
      <vt:lpstr>冷房05</vt:lpstr>
      <vt:lpstr>冷房06</vt:lpstr>
      <vt:lpstr>冷房07</vt:lpstr>
      <vt:lpstr>冷房08</vt:lpstr>
      <vt:lpstr>冷房09</vt:lpstr>
      <vt:lpstr>冷房10</vt:lpstr>
      <vt:lpstr>冷房11</vt:lpstr>
      <vt:lpstr>冷房12</vt:lpstr>
      <vt:lpstr>冷房13</vt:lpstr>
      <vt:lpstr>冷房14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YAMADA KOUICHI/山田 幸一(ＭＥＥ/和事/DS・マニュアル制作2G)</dc:creator>
  <cp:lastModifiedBy>YAMADA KOUICHI/山田 幸一(ＭＥＥ/和事/DS・マニュアル制作2G)</cp:lastModifiedBy>
  <dcterms:created xsi:type="dcterms:W3CDTF">2025-10-07T00:11:15Z</dcterms:created>
  <dcterms:modified xsi:type="dcterms:W3CDTF">2026-05-22T08:40:59Z</dcterms:modified>
</cp:coreProperties>
</file>